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TA" sheetId="1" r:id="rId4"/>
    <sheet state="visible" name="5TA (07)" sheetId="2" r:id="rId5"/>
    <sheet state="visible" name="6TA (08)" sheetId="3" r:id="rId6"/>
    <sheet state="visible" name="7MA (09)" sheetId="4" r:id="rId7"/>
    <sheet state="visible" name="8VA (10)" sheetId="5" r:id="rId8"/>
    <sheet state="visible" name="9NA (11)" sheetId="6" r:id="rId9"/>
    <sheet state="visible" name="OBSERVACIONES SEMANALES MANTENI" sheetId="7" r:id="rId10"/>
    <sheet state="visible" name="Hoja 15" sheetId="8" r:id="rId11"/>
    <sheet state="visible" name="Hoja 13" sheetId="9" r:id="rId12"/>
    <sheet state="visible" name="INFORME SEMANAL " sheetId="10" r:id="rId13"/>
    <sheet state="visible" name="4TA ENTREGA INFORME SEMANAL " sheetId="11" r:id="rId14"/>
    <sheet state="visible" name="5TA ENTREGA INFORME SEMANAL " sheetId="12" r:id="rId15"/>
    <sheet state="visible" name="6TA ENTREGA INFORME SEMANAL " sheetId="13" r:id="rId16"/>
    <sheet state="visible" name="7MA ENTREGA INFORME SEMANAL " sheetId="14" r:id="rId17"/>
    <sheet state="visible" name="8VA ENTREGA INFORME SEMANAL " sheetId="15" r:id="rId18"/>
    <sheet state="visible" name="9NA ENTREGA INFORME SEMANAL " sheetId="16" r:id="rId19"/>
    <sheet state="visible" name="BASE ENTREGA INFORME SEMANAL " sheetId="17" r:id="rId20"/>
    <sheet state="visible" name=" ARQUEROS INFORME SEMANAL 4TA, " sheetId="18" r:id="rId21"/>
    <sheet state="visible" name="ARQUEROS INFORME SEMANAL 7MA, 8" sheetId="19" r:id="rId22"/>
  </sheets>
  <definedNames>
    <definedName hidden="1" localSheetId="3" name="_xlnm._FilterDatabase">'7MA (09)'!$A$2:$A$42</definedName>
    <definedName hidden="1" localSheetId="4" name="_xlnm._FilterDatabase">'8VA (10)'!$A$2:$A$41</definedName>
    <definedName hidden="1" localSheetId="5" name="_xlnm._FilterDatabase">'9NA (11)'!$A$2:$A$45</definedName>
  </definedNames>
  <calcPr/>
  <extLst>
    <ext uri="GoogleSheetsCustomDataVersion2">
      <go:sheetsCustomData xmlns:go="http://customooxmlschemas.google.com/" r:id="rId23" roundtripDataChecksum="p+yMib/o3M91a3wqebD4GdQohwUcqljSpdsSxpNyD4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======
ID#AAABv6DHTQU
    (2025-11-12 01:23:00)
Roto menisco
	-Alejandra Guadalupe Buján Alato</t>
      </text>
    </comment>
    <comment authorId="0" ref="A21">
      <text>
        <t xml:space="preserve">======
ID#AAABv6DHTPQ
    (2025-11-12 01:22:59)
VIVE EN LO DE COMPAÑERO PALERMO 13.30HS
	-HURACAN NUTRICION</t>
      </text>
    </comment>
    <comment authorId="0" ref="S2">
      <text>
        <t xml:space="preserve">======
ID#AAABv6DHTN4
    (2025-11-12 01:22:59)
se tiene que operar
	-Malena Brandan</t>
      </text>
    </comment>
    <comment authorId="0" ref="U2">
      <text>
        <t xml:space="preserve">======
ID#AAABv6DHTNU
    (2025-11-12 01:22:59)
Esta operado de meñiscos, todavia no volvio a entrenar
	-Malena Brandan</t>
      </text>
    </comment>
    <comment authorId="0" ref="AE10">
      <text>
        <t xml:space="preserve">======
ID#AAABv6DHTNE
    (2025-11-12 01:22:59)
MEJOR PERO TIENE QUE SEGUIR BAJANDO 23-4
	-HURACAN NUTRICION</t>
      </text>
    </comment>
    <comment authorId="0" ref="O15">
      <text>
        <t xml:space="preserve">======
ID#AAABv6DHTMw
    (2025-11-12 01:22:59)
Hablamos de ajustar la porción
	-Alejandra Guadalupe Buján Alato</t>
      </text>
    </comment>
  </commentList>
  <extLst>
    <ext uri="GoogleSheetsCustomDataVersion2">
      <go:sheetsCustomData xmlns:go="http://customooxmlschemas.google.com/" r:id="rId1" roundtripDataSignature="AMtx7mgPz7+MW6ZlfY/7IqQesTdPpFZpr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31">
      <text>
        <t xml:space="preserve">======
ID#AAABv6DHTQ4
    (2025-11-12 01:23:00)
SE VE UN CAMBIO GRANDE REFIERE PF
	-HURACAN NUTRICION</t>
      </text>
    </comment>
    <comment authorId="0" ref="P19">
      <text>
        <t xml:space="preserve">======
ID#AAABv6DHTQY
    (2025-11-12 01:23:00)
TECNICO 4TA PIDIO Y VOLVIO 5TA
	-HURACAN NUTRICION</t>
      </text>
    </comment>
    <comment authorId="0" ref="L13">
      <text>
        <t xml:space="preserve">======
ID#AAABv6DHTQI
    (2025-11-12 01:23:00)
Desgarro solio. 3 semanas sin correr
	-Alejandra Guadalupe Buján Alato</t>
      </text>
    </comment>
    <comment authorId="0" ref="P6">
      <text>
        <t xml:space="preserve">======
ID#AAABv6DHTQE
    (2025-11-12 01:23:00)
ESGUINCE TOBILLO
	-HURACAN NUTRICION</t>
      </text>
    </comment>
    <comment authorId="0" ref="R29">
      <text>
        <t xml:space="preserve">======
ID#AAABv6DHTPo
    (2025-11-12 01:22:59)
hablamos cordoba partido comidas. Prox atentos.
	-Alejandra Guadalupe Buján Alato</t>
      </text>
    </comment>
    <comment authorId="0" ref="P26">
      <text>
        <t xml:space="preserve">======
ID#AAABv6DHTOs
    (2025-11-12 01:22:59)
TRABAJO APARTE CON EL PROFE
	-HURACAN NUTRICION</t>
      </text>
    </comment>
    <comment authorId="0" ref="P23">
      <text>
        <t xml:space="preserve">======
ID#AAABv6DHTOg
    (2025-11-12 01:22:59)
LESIONADO HOMBRO
	-HURACAN NUTRICION
VA A CIRUGIA
	-HURACAN NUTRICION</t>
      </text>
    </comment>
    <comment authorId="0" ref="Q29">
      <text>
        <t xml:space="preserve">======
ID#AAABv6DHTOI
    (2025-11-12 01:22:59)
La pampa fue a casa. Esta metiendo gym
	-Alejandra Guadalupe Buján Alato</t>
      </text>
    </comment>
    <comment authorId="0" ref="R31">
      <text>
        <t xml:space="preserve">======
ID#AAABv6DHTN8
    (2025-11-12 01:22:59)
Falto hoy
	-Alejandra Guadalupe Buján Alato</t>
      </text>
    </comment>
    <comment authorId="0" ref="O8">
      <text>
        <t xml:space="preserve">======
ID#AAABv6DHTNw
    (2025-11-12 01:22:59)
Hablamos economia en casa
	-Alejandra Guadalupe Buján Alato</t>
      </text>
    </comment>
    <comment authorId="0" ref="Q22">
      <text>
        <t xml:space="preserve">======
ID#AAABv6DHTNk
    (2025-11-12 01:22:59)
Esta con reserva hoy
	-Alejandra Guadalupe Buján Alato</t>
      </text>
    </comment>
    <comment authorId="0" ref="Q11">
      <text>
        <t xml:space="preserve">======
ID#AAABv6DHTNo
    (2025-11-12 01:22:59)
Este finde mal cumple y estan papas.
	-Alejandra Guadalupe Buján Alato</t>
      </text>
    </comment>
    <comment authorId="0" ref="P8">
      <text>
        <t xml:space="preserve">======
ID#AAABv6DHTM8
    (2025-11-12 01:22:59)
MEDICO
	-HURACAN NUTRICION</t>
      </text>
    </comment>
  </commentList>
  <extLst>
    <ext uri="GoogleSheetsCustomDataVersion2">
      <go:sheetsCustomData xmlns:go="http://customooxmlschemas.google.com/" r:id="rId1" roundtripDataSignature="AMtx7mh94/fQ/WcEliljcebu13y1IsCei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9">
      <text>
        <t xml:space="preserve">======
ID#AAABv6DHTQw
    (2025-11-12 01:23:00)
Comodoro. Ligamentos.
	-Alejandra Guadalupe Buján Alato</t>
      </text>
    </comment>
    <comment authorId="0" ref="R13">
      <text>
        <t xml:space="preserve">======
ID#AAABv6DHTP8
    (2025-11-12 01:23:00)
mas gym
	-Alejandra Guadalupe Buján Alato</t>
      </text>
    </comment>
    <comment authorId="0" ref="N17">
      <text>
        <t xml:space="preserve">======
ID#AAABv6DHTP0
    (2025-11-12 01:23:00)
bajar frecuencia milanesa, aderezo, chocolatada merienda por licuado /sumamos fruta q no tiene, bajar azucar , evitar pan comidas
	-Alejandra Guadalupe Buján Alato</t>
      </text>
    </comment>
    <comment authorId="0" ref="R34">
      <text>
        <t xml:space="preserve">======
ID#AAABv6DHTPU
    (2025-11-12 01:22:59)
PENSION. Refiere no comer en cole. Atentos para prox
	-Alejandra Guadalupe Buján Alato</t>
      </text>
    </comment>
    <comment authorId="0" ref="Q27">
      <text>
        <t xml:space="preserve">======
ID#AAABv6DHTPI
    (2025-11-12 01:22:59)
Hablar proxima
	-Alejandra Guadalupe Buján Alato</t>
      </text>
    </comment>
    <comment authorId="0" ref="S14">
      <text>
        <t xml:space="preserve">======
ID#AAABv6DHTOw
    (2025-11-12 01:22:59)
operado de cruzados
	-Malena Brandan</t>
      </text>
    </comment>
    <comment authorId="0" ref="R14">
      <text>
        <t xml:space="preserve">======
ID#AAABv6DHTOo
    (2025-11-12 01:22:59)
Viene salteado
	-Alejandra Guadalupe Buján Alato</t>
      </text>
    </comment>
    <comment authorId="0" ref="A36">
      <text>
        <t xml:space="preserve">======
ID#AAABv6DHTOQ
    (2025-11-12 01:22:59)
De mendoza. Nuevo
	-Alejandra Guadalupe Buján Alato</t>
      </text>
    </comment>
    <comment authorId="0" ref="N8">
      <text>
        <t xml:space="preserve">======
ID#AAABv6DHTOE
    (2025-11-12 01:22:59)
roto cruzados 1 mes y medio 
opero 
prox evaluamos piernas
	-Alejandra Guadalupe Buján Alato</t>
      </text>
    </comment>
    <comment authorId="0" ref="R29">
      <text>
        <t xml:space="preserve">======
ID#AAABv6DHTN0
    (2025-11-12 01:22:59)
HABAMOS PROX
	-Alejandra Guadalupe Buján Alato</t>
      </text>
    </comment>
  </commentList>
  <extLst>
    <ext uri="GoogleSheetsCustomDataVersion2">
      <go:sheetsCustomData xmlns:go="http://customooxmlschemas.google.com/" r:id="rId1" roundtripDataSignature="AMtx7mgfcEtUdJFQnvl/c7TSfajgJbkYz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4">
      <text>
        <t xml:space="preserve">======
ID#AAABv6DHTQo
    (2025-11-12 01:23:00)
findes. bajar frituras, aderezos, placer
	-Alejandra Guadalupe Buján Alato</t>
      </text>
    </comment>
    <comment authorId="0" ref="Q15">
      <text>
        <t xml:space="preserve">======
ID#AAABv6DHTQA
    (2025-11-12 01:23:00)
Pension fuera club. Proteina repre.
	-Alejandra Guadalupe Buján Alato</t>
      </text>
    </comment>
    <comment authorId="0" ref="N9">
      <text>
        <t xml:space="preserve">======
ID#AAABv6DHTPs
    (2025-11-12 01:23:00)
no desayuna ni merienda hablamos des aca y merendar choco pan y huevo
	-Alejandra Guadalupe Buján Alato</t>
      </text>
    </comment>
    <comment authorId="0" ref="R36">
      <text>
        <t xml:space="preserve">======
ID#AAABv6DHTPk
    (2025-11-12 01:22:59)
Hablamos con el porque no desayuna, derivo herbella por faringitis. En el cole come chatarra
	-Alejandra Guadalupe Buján Alato</t>
      </text>
    </comment>
    <comment authorId="0" ref="P21">
      <text>
        <t xml:space="preserve">======
ID#AAABv6DHTO8
    (2025-11-12 01:22:59)
ESTA REPITIENDO PLATO (MÁS CARNES)
	-HURACAN NUTRICION</t>
      </text>
    </comment>
    <comment authorId="0" ref="Q29">
      <text>
        <t xml:space="preserve">======
ID#AAABv6DHTOA
    (2025-11-12 01:22:59)
Proxima vemos prote
	-Alejandra Guadalupe Buján Alato</t>
      </text>
    </comment>
    <comment authorId="0" ref="R12">
      <text>
        <t xml:space="preserve">======
ID#AAABv6DHTNg
    (2025-11-12 01:22:59)
Proxima llamar
	-Alejandra Guadalupe Buján Alato</t>
      </text>
    </comment>
    <comment authorId="0" ref="R21">
      <text>
        <t xml:space="preserve">======
ID#AAABv6DHTNY
    (2025-11-12 01:22:59)
Dejo fritos
	-Alejandra Guadalupe Buján Alato
atentos proxima
	-Alejandra Guadalupe Buján Alato</t>
      </text>
    </comment>
  </commentList>
  <extLst>
    <ext uri="GoogleSheetsCustomDataVersion2">
      <go:sheetsCustomData xmlns:go="http://customooxmlschemas.google.com/" r:id="rId1" roundtripDataSignature="AMtx7mhNzGyn/yp9PcGxKZOFDPmxs24OV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39">
      <text>
        <t xml:space="preserve">======
ID#AAABv6DHTQs
    (2025-11-12 01:23:00)
Dice comer mal los findes hace 3 semanas
	-Alejandra Guadalupe Buján Alato</t>
      </text>
    </comment>
    <comment authorId="0" ref="P36">
      <text>
        <t xml:space="preserve">======
ID#AAABv6DHTQc
    (2025-11-12 01:23:00)
Bajar frecuencia milanesas y no repetir plato
	-Alejandra Guadalupe Buján Alato</t>
      </text>
    </comment>
    <comment authorId="0" ref="A12">
      <text>
        <t xml:space="preserve">======
ID#AAABv6DHTQQ
    (2025-11-12 01:23:00)
NO QUIERE TOMAR LA PROTE PORQUE REFIERE LE CAE MAL, PERO EL AÑO PASADO LO TOMABA,. CONSULTAR COMO LE FUE ESTA SEMANA, LE PEDIMOS QUE LA TOME, Y HAGA EL ESFUERZO
	-HURACAN NUTRICION</t>
      </text>
    </comment>
    <comment authorId="0" ref="O5">
      <text>
        <t xml:space="preserve">======
ID#AAABv6DHTP4
    (2025-11-12 01:23:00)
Estuvo enfermo
	-Alejandra Guadalupe Buján Alato</t>
      </text>
    </comment>
    <comment authorId="0" ref="Q39">
      <text>
        <t xml:space="preserve">======
ID#AAABv6DHTPw
    (2025-11-12 01:23:00)
Post entrenamiento xq llego tarde
	-Alejandra Guadalupe Buján Alato</t>
      </text>
    </comment>
    <comment authorId="0" ref="I41">
      <text>
        <t xml:space="preserve">======
ID#AAABv6DHTPg
    (2025-11-12 01:22:59)
NO CONSUME PROTEINA PORQUE LE CAE MAL LE RECOMENDAMOS QUE LO HAGA CON LECHE EN SU CASA. PREGUNTAR COMO LE FUE
	-HURACAN NUTRICION</t>
      </text>
    </comment>
    <comment authorId="0" ref="I12">
      <text>
        <t xml:space="preserve">======
ID#AAABv6DHTPY
    (2025-11-12 01:22:59)
Coordinador refiere que probablemente no la tome porque no quiere acercarse hasta la utilería
	-HURACAN NUTRICION</t>
      </text>
    </comment>
    <comment authorId="0" ref="P37">
      <text>
        <t xml:space="preserve">======
ID#AAABv6DHTPE
    (2025-11-12 01:22:59)
No se siente pesado. Desayuna vitina
	-Alejandra Guadalupe Buján Alato</t>
      </text>
    </comment>
    <comment authorId="0" ref="P25">
      <text>
        <t xml:space="preserve">======
ID#AAABv6DHTO4
    (2025-11-12 01:22:59)
Estuvo enfermo sin entrenar. Llego a 60
	-Alejandra Guadalupe Buján Alato</t>
      </text>
    </comment>
    <comment authorId="0" ref="N37">
      <text>
        <t xml:space="preserve">======
ID#AAABv6DHTO0
    (2025-11-12 01:22:59)
biscochitos en cole. hablamos llevar pan
	-Alejandra Guadalupe Buján Alato</t>
      </text>
    </comment>
    <comment authorId="0" ref="N23">
      <text>
        <t xml:space="preserve">======
ID#AAABv6DHTOc
    (2025-11-12 01:22:59)
un poquito mejor comiendo
	-Alejandra Guadalupe Buján Alato</t>
      </text>
    </comment>
    <comment authorId="0" ref="N34">
      <text>
        <t xml:space="preserve">======
ID#AAABv6DHTOM
    (2025-11-12 01:22:59)
alfajor  1 vez sem
	-Alejandra Guadalupe Buján Alato</t>
      </text>
    </comment>
    <comment authorId="0" ref="S13">
      <text>
        <t xml:space="preserve">======
ID#AAABv6DHTNA
    (2025-11-12 01:22:59)
Con pantalon
	-Alejandra Guadalupe Buján Alato</t>
      </text>
    </comment>
    <comment authorId="0" ref="N22">
      <text>
        <t xml:space="preserve">======
ID#AAABv6DHTM0
    (2025-11-12 01:22:59)
pension
	-Alejandra Guadalupe Buján Alato</t>
      </text>
    </comment>
  </commentList>
  <extLst>
    <ext uri="GoogleSheetsCustomDataVersion2">
      <go:sheetsCustomData xmlns:go="http://customooxmlschemas.google.com/" r:id="rId1" roundtripDataSignature="AMtx7mhJbUREHlRnl5y5CpB+Ra0+sB0WJ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6">
      <text>
        <t xml:space="preserve">======
ID#AAABv6DHTQ0
    (2025-11-12 01:23:00)
JUSTO PICO MAXIMO
	-Alejandra Guadalupe Buján Alato</t>
      </text>
    </comment>
    <comment authorId="0" ref="L43">
      <text>
        <t xml:space="preserve">======
ID#AAABv6DHTQk
    (2025-11-12 01:23:00)
casi rompe meniscos
	-Alejandra Guadalupe Buján Alato</t>
      </text>
    </comment>
    <comment authorId="0" ref="K24">
      <text>
        <t xml:space="preserve">======
ID#AAABv6DHTQg
    (2025-11-12 01:23:00)
estuvo sin entrenar 15 dias por un forúnculo y retomo este lunes
	-HURACAN NUTRICION</t>
      </text>
    </comment>
    <comment authorId="0" ref="K16">
      <text>
        <t xml:space="preserve">======
ID#AAABv6DHTQM
    (2025-11-12 01:23:00)
se le pide que no acompañe las comidas con pan ni galletitas
	-HURACAN NUTRICION</t>
      </text>
    </comment>
    <comment authorId="0" ref="L25">
      <text>
        <t xml:space="preserve">======
ID#AAABv6DHTPc
    (2025-11-12 01:22:59)
sumar hidrats a veces no hay y mirar pautas
	-Alejandra Guadalupe Buján Alato</t>
      </text>
    </comment>
    <comment authorId="0" ref="L18">
      <text>
        <t xml:space="preserve">======
ID#AAABv6DHTPM
    (2025-11-12 01:22:59)
enfermo fiebre y moco
	-Alejandra Guadalupe Buján Alato</t>
      </text>
    </comment>
    <comment authorId="0" ref="O43">
      <text>
        <t xml:space="preserve">======
ID#AAABv6DHTPA
    (2025-11-12 01:22:59)
Volvo lunes
	-Alejandra Guadalupe Buján Alato</t>
      </text>
    </comment>
    <comment authorId="0" ref="H14">
      <text>
        <t xml:space="preserve">======
ID#AAABv6DHTOk
    (2025-11-12 01:22:59)
mediciones pliegues la semana que viene
	-Malena Brandan</t>
      </text>
    </comment>
    <comment authorId="0" ref="N37">
      <text>
        <t xml:space="preserve">======
ID#AAABv6DHTOY
    (2025-11-12 01:22:59)
Dejo pautas 1 semana
	-Alejandra Guadalupe Buján Alato</t>
      </text>
    </comment>
    <comment authorId="0" ref="L14">
      <text>
        <t xml:space="preserve">======
ID#AAABv6DHTOU
    (2025-11-12 01:22:59)
prox preguntar si leyo pautas
	-Alejandra Guadalupe Buján Alato</t>
      </text>
    </comment>
    <comment authorId="0" ref="N9">
      <text>
        <t xml:space="preserve">======
ID#AAABv6DHTNs
    (2025-11-12 01:22:59)
Se siente bien
	-Alejandra Guadalupe Buján Alato</t>
      </text>
    </comment>
    <comment authorId="0" ref="H3">
      <text>
        <t xml:space="preserve">======
ID#AAABv6DHTNc
    (2025-11-12 01:22:59)
mediciones pliegues la semana que viene
	-Malena Brandan</t>
      </text>
    </comment>
    <comment authorId="0" ref="O24">
      <text>
        <t xml:space="preserve">======
ID#AAABv6DHTNM
    (2025-11-12 01:22:59)
4 objetivos: no repetir, sacar pan comidas, merendar y agarrar pautas
	-Alejandra Guadalupe Buján Alato</t>
      </text>
    </comment>
    <comment authorId="0" ref="L38">
      <text>
        <t xml:space="preserve">======
ID#AAABv6DHTNQ
    (2025-11-12 01:22:59)
des aca, sumar hidratos a veces es solo ensalada
	-Alejandra Guadalupe Buján Alato</t>
      </text>
    </comment>
    <comment authorId="0" ref="O13">
      <text>
        <t xml:space="preserve">======
ID#AAABv6DHTNI
    (2025-11-12 01:22:59)
No se hidrato. Vino post entrenamiento porque llego tarde
	-Alejandra Guadalupe Buján Alato</t>
      </text>
    </comment>
    <comment authorId="0" ref="L36">
      <text>
        <t xml:space="preserve">======
ID#AAABv6DHTM4
    (2025-11-12 01:22:59)
fiebre fuerte, catarro
	-Alejandra Guadalupe Buján Alato</t>
      </text>
    </comment>
  </commentList>
  <extLst>
    <ext uri="GoogleSheetsCustomDataVersion2">
      <go:sheetsCustomData xmlns:go="http://customooxmlschemas.google.com/" r:id="rId1" roundtripDataSignature="AMtx7mgiXOK7DVc9ybQj53c2DisIKMCoaQ=="/>
    </ext>
  </extLst>
</comments>
</file>

<file path=xl/sharedStrings.xml><?xml version="1.0" encoding="utf-8"?>
<sst xmlns="http://schemas.openxmlformats.org/spreadsheetml/2006/main" count="1210" uniqueCount="410">
  <si>
    <t>JUGADOR</t>
  </si>
  <si>
    <t>DNI</t>
  </si>
  <si>
    <t xml:space="preserve">PAUTAS </t>
  </si>
  <si>
    <t>DIFERENCIA sem</t>
  </si>
  <si>
    <t>DIFERENCIA ANUAL</t>
  </si>
  <si>
    <t>ALAYO IARLEY</t>
  </si>
  <si>
    <t>71.4</t>
  </si>
  <si>
    <t>DESCENSO</t>
  </si>
  <si>
    <t>BIMA SANTINO</t>
  </si>
  <si>
    <t>RESERVA</t>
  </si>
  <si>
    <t>BURGOS TORRES MAXIMO</t>
  </si>
  <si>
    <t>CACERES THIAGO</t>
  </si>
  <si>
    <t>77.9</t>
  </si>
  <si>
    <t>CORSARO IAN</t>
  </si>
  <si>
    <t>MANTENIMIENTO</t>
  </si>
  <si>
    <t xml:space="preserve">GIMENEZ MATIAS </t>
  </si>
  <si>
    <t>-</t>
  </si>
  <si>
    <t>AUMENTO</t>
  </si>
  <si>
    <t>IDARRAGA JUAN</t>
  </si>
  <si>
    <t>KALIGER IGNACIO</t>
  </si>
  <si>
    <t>LUCIANI</t>
  </si>
  <si>
    <t>DESCENSO RESERVA</t>
  </si>
  <si>
    <t>LUGO LOPEZ ERNESTO</t>
  </si>
  <si>
    <t>R</t>
  </si>
  <si>
    <t>MARTÍNEZ OSCAR</t>
  </si>
  <si>
    <t>72.1</t>
  </si>
  <si>
    <t>MORA LAUTARO</t>
  </si>
  <si>
    <t>ORTIZ LUCAS</t>
  </si>
  <si>
    <t>POZA ADRIEL</t>
  </si>
  <si>
    <t>RIEGEL MARIANO</t>
  </si>
  <si>
    <t>SAMBADE JOAQUIN</t>
  </si>
  <si>
    <t>SANCHEZ FACUNDO (R)</t>
  </si>
  <si>
    <t xml:space="preserve">SEGOVIA SANTIAGO </t>
  </si>
  <si>
    <t xml:space="preserve">COSCIO IGNACIO </t>
  </si>
  <si>
    <t>ERLINCH JOEL</t>
  </si>
  <si>
    <t>GRICENIUK TOBIAS</t>
  </si>
  <si>
    <t>JULIAN JUAN CRUZ</t>
  </si>
  <si>
    <t>SARZINSKY TOMAS (R)</t>
  </si>
  <si>
    <t>BOURQUIN JUAN IGNACIO</t>
  </si>
  <si>
    <t>COSTA LUCAS</t>
  </si>
  <si>
    <t>GARCIA PATRICIO ALAN</t>
  </si>
  <si>
    <t>CAH - 5ta div -25</t>
  </si>
  <si>
    <t>ACEVEDO THIAGO</t>
  </si>
  <si>
    <t>ARANDA TOBIAS</t>
  </si>
  <si>
    <t xml:space="preserve">RESERVA </t>
  </si>
  <si>
    <t>BAEZ ELIAN</t>
  </si>
  <si>
    <t xml:space="preserve">BENITEZ JOAQUIN </t>
  </si>
  <si>
    <t>BOGADO LAUTARO</t>
  </si>
  <si>
    <t>RESER</t>
  </si>
  <si>
    <t>CARRO BAUTISTA</t>
  </si>
  <si>
    <t>CASTELLANOS MARTIN</t>
  </si>
  <si>
    <t>CATRIEL GERONIMO</t>
  </si>
  <si>
    <t>CHIQUICHANO MATIAS</t>
  </si>
  <si>
    <t>COLMAN TOBIAS</t>
  </si>
  <si>
    <t>CORREA JOAQUIN</t>
  </si>
  <si>
    <t xml:space="preserve">BAJAMOS 1 EN DESAYUNO </t>
  </si>
  <si>
    <t>DAURICIO MARTIN</t>
  </si>
  <si>
    <t xml:space="preserve">ARQ </t>
  </si>
  <si>
    <t>MAS 54 2804196734 (CHUBUT)</t>
  </si>
  <si>
    <t xml:space="preserve">DIMARCO ROCCO </t>
  </si>
  <si>
    <t>DOMIGUEZ DA SILVA DERLI</t>
  </si>
  <si>
    <t>FERREYRA TOBIAS</t>
  </si>
  <si>
    <t xml:space="preserve">FIGUEROA JUAN </t>
  </si>
  <si>
    <t xml:space="preserve">GARECA AGUSTIN </t>
  </si>
  <si>
    <t xml:space="preserve">GAUNA AXEL </t>
  </si>
  <si>
    <t xml:space="preserve">GRADIN VALENTIN </t>
  </si>
  <si>
    <t>.</t>
  </si>
  <si>
    <t>MANTENIMIENTO/RESERVA</t>
  </si>
  <si>
    <t>JAUREGUI FACUNDO</t>
  </si>
  <si>
    <t>RESERVA? DESCENSO</t>
  </si>
  <si>
    <t>MALDONADO NAHUEL</t>
  </si>
  <si>
    <t xml:space="preserve">MARTINEZ BRAIAN </t>
  </si>
  <si>
    <t>MARTINEZ FABRIZIO</t>
  </si>
  <si>
    <t>MENDEZ EZEQUIEL</t>
  </si>
  <si>
    <t xml:space="preserve">DESCENSO </t>
  </si>
  <si>
    <t>evaluar pliegues</t>
  </si>
  <si>
    <t>PERALTA TAHIEL (08)</t>
  </si>
  <si>
    <t>PERNIA GIROT</t>
  </si>
  <si>
    <t>69.9</t>
  </si>
  <si>
    <t xml:space="preserve">PRAL RAMIRO </t>
  </si>
  <si>
    <t xml:space="preserve">RODRIGUEZ LAUTARO </t>
  </si>
  <si>
    <t xml:space="preserve">SOSA THIAGO </t>
  </si>
  <si>
    <t>83.9</t>
  </si>
  <si>
    <t xml:space="preserve">AUMENTO </t>
  </si>
  <si>
    <t xml:space="preserve">URIBE TOMAS </t>
  </si>
  <si>
    <t>4ta</t>
  </si>
  <si>
    <t xml:space="preserve"> </t>
  </si>
  <si>
    <t xml:space="preserve">VIGLIOCO BRUNO </t>
  </si>
  <si>
    <t>YAMAGUCHI</t>
  </si>
  <si>
    <t>SOTO MARTIN</t>
  </si>
  <si>
    <t>MANSUR RODRIGO</t>
  </si>
  <si>
    <t>PENSIÓN</t>
  </si>
  <si>
    <t>CASTRO NAHUEL</t>
  </si>
  <si>
    <t>CONESA FRANCO</t>
  </si>
  <si>
    <t>BASTISTELA TISIANO</t>
  </si>
  <si>
    <t>no viene mas</t>
  </si>
  <si>
    <t>CAH - 6ta div -25</t>
  </si>
  <si>
    <t>AARON SILVA</t>
  </si>
  <si>
    <t>ACOSTA MATEO</t>
  </si>
  <si>
    <t>ALMENDARIZ MARTIN</t>
  </si>
  <si>
    <t>65.5</t>
  </si>
  <si>
    <t xml:space="preserve">AQUINO LAUTARO </t>
  </si>
  <si>
    <t>BALTAR AXEL</t>
  </si>
  <si>
    <t>73.2</t>
  </si>
  <si>
    <t>BENITEZ DANTE</t>
  </si>
  <si>
    <t>BENITEZ IAN</t>
  </si>
  <si>
    <t>78.4</t>
  </si>
  <si>
    <t>L</t>
  </si>
  <si>
    <t>BORJA AXEL</t>
  </si>
  <si>
    <t>CACERES DYLAN</t>
  </si>
  <si>
    <t>CAGIANO IGNACIO</t>
  </si>
  <si>
    <t>CARABALLO BENJAMIN</t>
  </si>
  <si>
    <t>62.4</t>
  </si>
  <si>
    <t xml:space="preserve">CATANZANO LAUTARO
</t>
  </si>
  <si>
    <t>DE ASIS JONATHAN</t>
  </si>
  <si>
    <t>DIAZ ALAN</t>
  </si>
  <si>
    <t xml:space="preserve">FERNANDEZ AMIR </t>
  </si>
  <si>
    <t>76.9</t>
  </si>
  <si>
    <t xml:space="preserve">GARIGLIO ENZO </t>
  </si>
  <si>
    <t>GARCES DYLAN</t>
  </si>
  <si>
    <t>68.1</t>
  </si>
  <si>
    <t>GUERRERO AGUSTIN</t>
  </si>
  <si>
    <t>61.8</t>
  </si>
  <si>
    <t>GUERRERO ENZO</t>
  </si>
  <si>
    <t>INSAURRALDE URIEL</t>
  </si>
  <si>
    <t xml:space="preserve">LEGUIZAMON ARON </t>
  </si>
  <si>
    <t>63.6</t>
  </si>
  <si>
    <t>LOPEZ RAMIRO</t>
  </si>
  <si>
    <t>63.7</t>
  </si>
  <si>
    <t>MACIEL LUCAS</t>
  </si>
  <si>
    <t>MATELLAN SAMUEL</t>
  </si>
  <si>
    <t>NUÑEZ LAURENCIO</t>
  </si>
  <si>
    <t xml:space="preserve">NUÑEZ LAUTARO </t>
  </si>
  <si>
    <t xml:space="preserve">PARGA THIAGO </t>
  </si>
  <si>
    <t>PECILE MATIAS</t>
  </si>
  <si>
    <t>71.3</t>
  </si>
  <si>
    <t>POZA AYRTON</t>
  </si>
  <si>
    <t>66.9</t>
  </si>
  <si>
    <t>RAYNELI SANTINO</t>
  </si>
  <si>
    <t>SAPAYA ELIAS</t>
  </si>
  <si>
    <t>66.8</t>
  </si>
  <si>
    <t>VENTRE FRANCISCO</t>
  </si>
  <si>
    <t xml:space="preserve">TROTA MATIAS </t>
  </si>
  <si>
    <t>OLARTE JUAN PABLO</t>
  </si>
  <si>
    <t>94.3</t>
  </si>
  <si>
    <t>SILVA</t>
  </si>
  <si>
    <t xml:space="preserve">ALZOGARAY MATEO </t>
  </si>
  <si>
    <t xml:space="preserve">no mas </t>
  </si>
  <si>
    <t xml:space="preserve">FERNANDEZ JOAQUIN </t>
  </si>
  <si>
    <t>YOS</t>
  </si>
  <si>
    <t xml:space="preserve">se fue </t>
  </si>
  <si>
    <t>DIAZ PINTO</t>
  </si>
  <si>
    <t>CAH - 7ma div -25</t>
  </si>
  <si>
    <t>ACOSTA BRANDON</t>
  </si>
  <si>
    <t>58.9</t>
  </si>
  <si>
    <t>AGGIO TOMAS</t>
  </si>
  <si>
    <t>27-8 70,4</t>
  </si>
  <si>
    <t>ALVAREZ THIAGO</t>
  </si>
  <si>
    <t>71.1</t>
  </si>
  <si>
    <t>BACHES AGUSTIN</t>
  </si>
  <si>
    <t>BALSANO AGUSTIN</t>
  </si>
  <si>
    <t>CASTILLO IAN</t>
  </si>
  <si>
    <t>CEBALLOS NAZARENO</t>
  </si>
  <si>
    <t>CHAPARRO MATEO</t>
  </si>
  <si>
    <t>COLMAN SANTIAGO</t>
  </si>
  <si>
    <t>CONDE LUCIANO</t>
  </si>
  <si>
    <t xml:space="preserve">CORREA Juan marton </t>
  </si>
  <si>
    <t>DATA LUCAS</t>
  </si>
  <si>
    <t>DE GREGORIO BRIAN</t>
  </si>
  <si>
    <t>DEL BLANCO MATEO</t>
  </si>
  <si>
    <t>77,.5</t>
  </si>
  <si>
    <t>DOMINGUEZ AYRTON</t>
  </si>
  <si>
    <t>78.1</t>
  </si>
  <si>
    <t>FALIA SANTIAGO</t>
  </si>
  <si>
    <t>63.4</t>
  </si>
  <si>
    <t>FERNANDEZ AXEL</t>
  </si>
  <si>
    <t xml:space="preserve">FERNANDEZ SANTINO </t>
  </si>
  <si>
    <t>FUENTES ALEJO</t>
  </si>
  <si>
    <t>75.3</t>
  </si>
  <si>
    <t>ILARION ELISEO</t>
  </si>
  <si>
    <t>LUNA DYLAN</t>
  </si>
  <si>
    <t>58.4</t>
  </si>
  <si>
    <t>MACIEL THIAGO</t>
  </si>
  <si>
    <t>MEDINA NICOLAS</t>
  </si>
  <si>
    <t>67.3</t>
  </si>
  <si>
    <t>MONTIVERO LUCAS</t>
  </si>
  <si>
    <t>MORENO THIAGO</t>
  </si>
  <si>
    <t>74.5</t>
  </si>
  <si>
    <t>NUÑEZ TIZIANO</t>
  </si>
  <si>
    <t>PANZUTO BENICIO</t>
  </si>
  <si>
    <t>74.8</t>
  </si>
  <si>
    <t>PAREDES TOMAS</t>
  </si>
  <si>
    <t>PENDAS VALENTIN</t>
  </si>
  <si>
    <t>PEREZ AGUSTIN</t>
  </si>
  <si>
    <t>67.7</t>
  </si>
  <si>
    <t>PEREZ THIAGO</t>
  </si>
  <si>
    <t>RAGAZZI JOSUE</t>
  </si>
  <si>
    <t>62.3</t>
  </si>
  <si>
    <t xml:space="preserve">RODRIGUEZ ALEJANDRO </t>
  </si>
  <si>
    <t>75.6</t>
  </si>
  <si>
    <t>SAN MARTIN LUCIANO</t>
  </si>
  <si>
    <t>SIGNORELLO SANTINO</t>
  </si>
  <si>
    <t>68.8</t>
  </si>
  <si>
    <t>SIMEONE RODRIGO</t>
  </si>
  <si>
    <t xml:space="preserve"> VELAZQUEZ ROMAN</t>
  </si>
  <si>
    <t>YNSAURRALDE THIAGO</t>
  </si>
  <si>
    <t>CAH - 8va div -25</t>
  </si>
  <si>
    <t>ACOSTA GASTON</t>
  </si>
  <si>
    <t>70.7</t>
  </si>
  <si>
    <t>ANDRADE BAUTISTA</t>
  </si>
  <si>
    <t>ANGO LUCAS</t>
  </si>
  <si>
    <t>68.5</t>
  </si>
  <si>
    <t>BENITEZ TIZIANO</t>
  </si>
  <si>
    <t>BLANCO THIAGO</t>
  </si>
  <si>
    <t>BOGARIN HAZIEL</t>
  </si>
  <si>
    <t>CABALLERO BRUNO</t>
  </si>
  <si>
    <t>CARRIZO SANTINO</t>
  </si>
  <si>
    <t>CORBANI JUAN</t>
  </si>
  <si>
    <t>63.9</t>
  </si>
  <si>
    <t>DE OLIVERA IGNACIO</t>
  </si>
  <si>
    <t>58.7</t>
  </si>
  <si>
    <t>ENCINA ROMAN</t>
  </si>
  <si>
    <t>71.7</t>
  </si>
  <si>
    <t>FERNANDEZ LAUTARO</t>
  </si>
  <si>
    <t xml:space="preserve">FRANCIOSA VITO </t>
  </si>
  <si>
    <t>63.1</t>
  </si>
  <si>
    <t xml:space="preserve">GARCIA RODRIGO </t>
  </si>
  <si>
    <t xml:space="preserve">GENEZ LEANDRO </t>
  </si>
  <si>
    <t>59.1</t>
  </si>
  <si>
    <t>GIGLIOTTI THIAGO</t>
  </si>
  <si>
    <t>GRISOLIA THIAGO</t>
  </si>
  <si>
    <t>67.6</t>
  </si>
  <si>
    <t>HERBELLA RAFAEL</t>
  </si>
  <si>
    <t>LAZARTE BENJAMIN</t>
  </si>
  <si>
    <t>72.2</t>
  </si>
  <si>
    <t xml:space="preserve">LEIVA JUAN </t>
  </si>
  <si>
    <t>71.8</t>
  </si>
  <si>
    <t>LEZCANO RAMIRO</t>
  </si>
  <si>
    <t>MANSO SANTIAGO</t>
  </si>
  <si>
    <t xml:space="preserve">MARTINEZ MARTIN </t>
  </si>
  <si>
    <t>61.3</t>
  </si>
  <si>
    <t xml:space="preserve">MARTINEZ SANTIAGO </t>
  </si>
  <si>
    <t>MEDINA SANTIAGO</t>
  </si>
  <si>
    <t>MORETTI BENAJMIN</t>
  </si>
  <si>
    <t>PACHECO LUCIANO</t>
  </si>
  <si>
    <t>PEREZ RUIZ GALO</t>
  </si>
  <si>
    <t>PUYOS RAMIRO</t>
  </si>
  <si>
    <t>RINALDI LAUTARO</t>
  </si>
  <si>
    <t>68.7</t>
  </si>
  <si>
    <t>RIQUELME LAUTARO</t>
  </si>
  <si>
    <t xml:space="preserve">ROLDAN LAUTARO </t>
  </si>
  <si>
    <t>SANCHEZ RAMIRO</t>
  </si>
  <si>
    <t>SOLABARRIETA LEONARDO</t>
  </si>
  <si>
    <t>TEJADA CRISTOPHER</t>
  </si>
  <si>
    <t>TOCNOLA TOBIAS</t>
  </si>
  <si>
    <t>TORRES LUIS</t>
  </si>
  <si>
    <t>VASQUEZ EVER</t>
  </si>
  <si>
    <t>55.8</t>
  </si>
  <si>
    <t>VERGARA THIAGO</t>
  </si>
  <si>
    <t>NORIEGA RODRIGO</t>
  </si>
  <si>
    <t>CAH - 9na div -25</t>
  </si>
  <si>
    <t>AGUIRRE JONATHAN</t>
  </si>
  <si>
    <t>ALCARAZ JOEL</t>
  </si>
  <si>
    <t>49.9</t>
  </si>
  <si>
    <t>ARANDA GONZALO</t>
  </si>
  <si>
    <t>59.2</t>
  </si>
  <si>
    <t>BERNAL ELIAS</t>
  </si>
  <si>
    <t>54.7</t>
  </si>
  <si>
    <t>BRAMAJO BRAMAJO</t>
  </si>
  <si>
    <t>56.6</t>
  </si>
  <si>
    <t xml:space="preserve">CACEREZ RENZO </t>
  </si>
  <si>
    <t xml:space="preserve">CACEREZ TIZIANO </t>
  </si>
  <si>
    <t>CARLUCCIO VALENTINO</t>
  </si>
  <si>
    <t>54.2</t>
  </si>
  <si>
    <t>CASAL AXEL</t>
  </si>
  <si>
    <t>CASCO DYLAN</t>
  </si>
  <si>
    <t>CHAVEZ IAN</t>
  </si>
  <si>
    <t>67.1</t>
  </si>
  <si>
    <t>CISNEROS RAMIRO</t>
  </si>
  <si>
    <t xml:space="preserve">DI PIERO BRANDON </t>
  </si>
  <si>
    <t>65.2</t>
  </si>
  <si>
    <t>DOMINGUEZ BASTIAN</t>
  </si>
  <si>
    <t xml:space="preserve">FARFAN SAMUEL </t>
  </si>
  <si>
    <t>60.3</t>
  </si>
  <si>
    <t>FERNANDEZ MARTIN</t>
  </si>
  <si>
    <t>FILIPOWICZ JAN</t>
  </si>
  <si>
    <t>GODOY BAUTISTA</t>
  </si>
  <si>
    <t>GONZALEZ ALEJANDRO</t>
  </si>
  <si>
    <t>65.9</t>
  </si>
  <si>
    <t>JUVE BAUTISTA</t>
  </si>
  <si>
    <t>55.3</t>
  </si>
  <si>
    <t>LASCURAIN JOHAN</t>
  </si>
  <si>
    <t>LEGUIZAMON IAN</t>
  </si>
  <si>
    <t>MAGLIANO VITO</t>
  </si>
  <si>
    <t>MANCILLA BAUTISTA</t>
  </si>
  <si>
    <t xml:space="preserve">MARTINEZ GAUTO AXEL </t>
  </si>
  <si>
    <t>MERLO JULIAN</t>
  </si>
  <si>
    <t>57.7</t>
  </si>
  <si>
    <t>MIELE TOMAS</t>
  </si>
  <si>
    <t>MOLINA SANTINO</t>
  </si>
  <si>
    <t>61.5</t>
  </si>
  <si>
    <t>MONTE LUCA</t>
  </si>
  <si>
    <t>MUNARI MARTÍN</t>
  </si>
  <si>
    <t>OTAZU IGNACIO</t>
  </si>
  <si>
    <t xml:space="preserve">PAPILLU MATEO </t>
  </si>
  <si>
    <t xml:space="preserve">POZA ALAN </t>
  </si>
  <si>
    <t>RODRIGUEZ IVAN</t>
  </si>
  <si>
    <t>RUIZ ANGEL</t>
  </si>
  <si>
    <t>69.4</t>
  </si>
  <si>
    <t>SAIZ SANTINO</t>
  </si>
  <si>
    <t>SALGUERO BASTIAN</t>
  </si>
  <si>
    <t>65.3</t>
  </si>
  <si>
    <t xml:space="preserve">SORANO MATEO </t>
  </si>
  <si>
    <t>TOLEDO BASTIAN</t>
  </si>
  <si>
    <t>63.5</t>
  </si>
  <si>
    <t>TOTELLA BENJAMIN</t>
  </si>
  <si>
    <t>TRAIISE GONZALO</t>
  </si>
  <si>
    <t>ZOIA LAUTARO</t>
  </si>
  <si>
    <t xml:space="preserve">CATEGORIA </t>
  </si>
  <si>
    <t xml:space="preserve">OBSERVACION </t>
  </si>
  <si>
    <t xml:space="preserve">4TA </t>
  </si>
  <si>
    <t xml:space="preserve">SANCHEZ FACUNDO </t>
  </si>
  <si>
    <t>5TA</t>
  </si>
  <si>
    <t>6TA</t>
  </si>
  <si>
    <t>7MA</t>
  </si>
  <si>
    <t xml:space="preserve">8VA </t>
  </si>
  <si>
    <t xml:space="preserve">9NA </t>
  </si>
  <si>
    <t xml:space="preserve">6TA </t>
  </si>
  <si>
    <t>8VA</t>
  </si>
  <si>
    <t>9NA</t>
  </si>
  <si>
    <t>SEGUNDA SEM -1,1</t>
  </si>
  <si>
    <t>SEG SEM -1,4 Y -1</t>
  </si>
  <si>
    <t xml:space="preserve">OK RECUPERO </t>
  </si>
  <si>
    <t xml:space="preserve">VA 1 KG ARRIBA Y 1 PARA ABAJO </t>
  </si>
  <si>
    <t xml:space="preserve">YA 3 KG VER SUBIO </t>
  </si>
  <si>
    <t xml:space="preserve">YA SUBIO 2 KG </t>
  </si>
  <si>
    <t xml:space="preserve">RECUPERO </t>
  </si>
  <si>
    <t xml:space="preserve">5TA </t>
  </si>
  <si>
    <t xml:space="preserve">OLARTE JUAN PABLO </t>
  </si>
  <si>
    <t>VENTRE</t>
  </si>
  <si>
    <t>AGUIRRE</t>
  </si>
  <si>
    <t xml:space="preserve">PLIEGUES </t>
  </si>
  <si>
    <t>CACERES</t>
  </si>
  <si>
    <t>ALMEDARIZ</t>
  </si>
  <si>
    <t>PAREDES</t>
  </si>
  <si>
    <t xml:space="preserve">NO DISM </t>
  </si>
  <si>
    <t xml:space="preserve">NO AUMENTA </t>
  </si>
  <si>
    <t>BAJADO...</t>
  </si>
  <si>
    <t xml:space="preserve">4TA DIVISION </t>
  </si>
  <si>
    <t xml:space="preserve">POSITIVO ES AUMENTO </t>
  </si>
  <si>
    <t xml:space="preserve">NEGATIVO ES DESCENSO </t>
  </si>
  <si>
    <t xml:space="preserve">VALORES GRANDES COMO 70 ES UE NO SE PRESENTO EN ALGUNA DE LAS DOS CHEKEAR DIF SI VINO </t>
  </si>
  <si>
    <t xml:space="preserve">VER NO VINIERON </t>
  </si>
  <si>
    <t xml:space="preserve">5TA DIVISION </t>
  </si>
  <si>
    <t xml:space="preserve">MANTENIMIENTO: </t>
  </si>
  <si>
    <t xml:space="preserve">MAYOR A 1 </t>
  </si>
  <si>
    <t>ENTRE 1 Y 2</t>
  </si>
  <si>
    <t>MENOR A 1</t>
  </si>
  <si>
    <t xml:space="preserve">ENTRE -1 Y -2 </t>
  </si>
  <si>
    <t>MANSUR RODRIO</t>
  </si>
  <si>
    <t xml:space="preserve">MENOR A -0,5 </t>
  </si>
  <si>
    <t>MAYOR A 0,5</t>
  </si>
  <si>
    <t xml:space="preserve">6TA DIVISION </t>
  </si>
  <si>
    <t xml:space="preserve">SIN DIAGNOSTICO MITAD AÑO </t>
  </si>
  <si>
    <t xml:space="preserve">7MA DIVISION </t>
  </si>
  <si>
    <t xml:space="preserve">8VA DIVISION </t>
  </si>
  <si>
    <t xml:space="preserve">NO HAY </t>
  </si>
  <si>
    <t xml:space="preserve">9NA DIVISIÓN </t>
  </si>
  <si>
    <t>NO VIENE MAS??</t>
  </si>
  <si>
    <t xml:space="preserve">ARQUEROS 4TA - 5TA Y 6TA </t>
  </si>
  <si>
    <t>COSCIO IGNACIO (4TA)</t>
  </si>
  <si>
    <t>DAURICIO MARTIN (5TA)</t>
  </si>
  <si>
    <t>BOURQUIN JUAN IGNACIO (4TA)</t>
  </si>
  <si>
    <t>FIGUEROA JUAN (5TA)</t>
  </si>
  <si>
    <t>JAUREGUI FACUNDO (5TA)</t>
  </si>
  <si>
    <t>PARGA THIAGO (6TA)</t>
  </si>
  <si>
    <t>VENTRE FRANCISCO (6TA)</t>
  </si>
  <si>
    <t xml:space="preserve">ARQUEROS 7MA - 8VA Y 9NA </t>
  </si>
  <si>
    <t>NUÑEZ TIZIANO (7MA)</t>
  </si>
  <si>
    <t>PENDAS VALENTIN  (7MA)</t>
  </si>
  <si>
    <t>OTAZU IGNACIO (9NA)</t>
  </si>
  <si>
    <t>ANDRADE BAUTISTA (8VA)</t>
  </si>
  <si>
    <t>SAN MARTIN LUCIANO  (7MA)</t>
  </si>
  <si>
    <t>CABALLERO BRUNO (8VA)</t>
  </si>
  <si>
    <t>FRANCIOSA VITO (8VA)</t>
  </si>
  <si>
    <t>MERLO JULIAN (9NA)</t>
  </si>
  <si>
    <t>RODRIGUEZ IVAN (9NA)</t>
  </si>
  <si>
    <r>
      <rPr>
        <rFont val="Arial"/>
        <b/>
        <color theme="1"/>
        <sz val="14.0"/>
      </rPr>
      <t xml:space="preserve">INFORME SEMANAL CONTROLES DE PESO  - DEPARTAMENTO DE NUTRICIÓN </t>
    </r>
    <r>
      <rPr>
        <rFont val="Arial"/>
        <b/>
        <color theme="1"/>
        <sz val="12.0"/>
      </rPr>
      <t xml:space="preserve"> </t>
    </r>
    <r>
      <rPr>
        <rFont val="Arial"/>
        <b/>
        <color theme="1"/>
        <sz val="22.0"/>
      </rPr>
      <t>4TA DIVISIÓN</t>
    </r>
  </si>
  <si>
    <t>FECHA:</t>
  </si>
  <si>
    <t xml:space="preserve">NO VINIERON </t>
  </si>
  <si>
    <t xml:space="preserve">DEBERIA BAJAR DE PESO PERO AUMENTO </t>
  </si>
  <si>
    <t>DEBERIA AUMENTAR PERO DESCENDIO</t>
  </si>
  <si>
    <t xml:space="preserve">JUGADOR </t>
  </si>
  <si>
    <t xml:space="preserve">BUEN PROGRESO </t>
  </si>
  <si>
    <t xml:space="preserve">DEPARTAMENTO NUTRICIÓN CAH JUVENILES </t>
  </si>
  <si>
    <t xml:space="preserve">LIC. ORIANA NAPOLI </t>
  </si>
  <si>
    <t xml:space="preserve">LIC. MALENA BRANDAN </t>
  </si>
  <si>
    <t xml:space="preserve">LIC ALEJANDRA BUJÁN </t>
  </si>
  <si>
    <t>LIC. JOAQUIN DACQUINO</t>
  </si>
  <si>
    <r>
      <rPr>
        <rFont val="Arial"/>
        <b/>
        <color theme="1"/>
        <sz val="14.0"/>
      </rPr>
      <t xml:space="preserve">INFORME SEMANAL CONTROLES DE PESO  - DEPARTAMENTO DE NUTRICIÓN </t>
    </r>
    <r>
      <rPr>
        <rFont val="Arial"/>
        <b/>
        <color theme="1"/>
        <sz val="12.0"/>
      </rPr>
      <t xml:space="preserve"> </t>
    </r>
    <r>
      <rPr>
        <rFont val="Arial"/>
        <b/>
        <color theme="1"/>
        <sz val="22.0"/>
      </rPr>
      <t>5TA DIVISIÓN</t>
    </r>
  </si>
  <si>
    <t xml:space="preserve">6ta esta en esta categoria </t>
  </si>
  <si>
    <r>
      <rPr>
        <rFont val="Arial"/>
        <b/>
        <color theme="1"/>
        <sz val="14.0"/>
      </rPr>
      <t xml:space="preserve">INFORME SEMANAL CONTROLES DE PESO  - DEPARTAMENTO DE NUTRICIÓN </t>
    </r>
    <r>
      <rPr>
        <rFont val="Arial"/>
        <b/>
        <color theme="1"/>
        <sz val="12.0"/>
      </rPr>
      <t xml:space="preserve"> </t>
    </r>
    <r>
      <rPr>
        <rFont val="Arial"/>
        <b/>
        <color theme="1"/>
        <sz val="22.0"/>
      </rPr>
      <t>6TA DIVISIÓN</t>
    </r>
  </si>
  <si>
    <r>
      <rPr>
        <rFont val="Arial"/>
        <b/>
        <color theme="1"/>
        <sz val="14.0"/>
      </rPr>
      <t xml:space="preserve">INFORME SEMANAL CONTROLES DE PESO  - DEPARTAMENTO DE NUTRICIÓN </t>
    </r>
    <r>
      <rPr>
        <rFont val="Arial"/>
        <b/>
        <color theme="1"/>
        <sz val="12.0"/>
      </rPr>
      <t xml:space="preserve"> </t>
    </r>
    <r>
      <rPr>
        <rFont val="Arial"/>
        <b/>
        <color theme="1"/>
        <sz val="22.0"/>
      </rPr>
      <t>7MA DIVISIÓN</t>
    </r>
  </si>
  <si>
    <r>
      <rPr>
        <rFont val="Arial"/>
        <b/>
        <color theme="1"/>
        <sz val="14.0"/>
      </rPr>
      <t xml:space="preserve">INFORME SEMANAL CONTROLES DE PESO  - DEPARTAMENTO DE NUTRICIÓN </t>
    </r>
    <r>
      <rPr>
        <rFont val="Arial"/>
        <b/>
        <color theme="1"/>
        <sz val="12.0"/>
      </rPr>
      <t xml:space="preserve"> </t>
    </r>
    <r>
      <rPr>
        <rFont val="Arial"/>
        <b/>
        <color theme="1"/>
        <sz val="22.0"/>
      </rPr>
      <t>8VA DIVISIÓN</t>
    </r>
  </si>
  <si>
    <r>
      <rPr>
        <rFont val="Arial"/>
        <b/>
        <color theme="1"/>
        <sz val="14.0"/>
      </rPr>
      <t xml:space="preserve">INFORME SEMANAL CONTROLES DE PESO  - DEPARTAMENTO DE NUTRICIÓN </t>
    </r>
    <r>
      <rPr>
        <rFont val="Arial"/>
        <b/>
        <color theme="1"/>
        <sz val="12.0"/>
      </rPr>
      <t xml:space="preserve"> </t>
    </r>
    <r>
      <rPr>
        <rFont val="Arial"/>
        <b/>
        <color theme="1"/>
        <sz val="22.0"/>
      </rPr>
      <t>9NA DIVISIÓN</t>
    </r>
  </si>
  <si>
    <r>
      <rPr>
        <rFont val="Arial"/>
        <b/>
        <color theme="1"/>
        <sz val="14.0"/>
      </rPr>
      <t xml:space="preserve">INFORME SEMANAL CONTROLES DE PESO  - DEPARTAMENTO DE NUTRICIÓN </t>
    </r>
    <r>
      <rPr>
        <rFont val="Arial"/>
        <b/>
        <color theme="1"/>
        <sz val="12.0"/>
      </rPr>
      <t xml:space="preserve"> </t>
    </r>
    <r>
      <rPr>
        <rFont val="Arial"/>
        <b/>
        <color theme="1"/>
        <sz val="22.0"/>
      </rPr>
      <t>8VA DIVISIÓN</t>
    </r>
  </si>
  <si>
    <r>
      <rPr>
        <rFont val="Arial"/>
        <b/>
        <color theme="1"/>
        <sz val="14.0"/>
      </rPr>
      <t xml:space="preserve">INFORME SEMANAL CONTROLES DE PESO  - DEPARTAMENTO DE NUTRICIÓN </t>
    </r>
    <r>
      <rPr>
        <rFont val="Arial"/>
        <b/>
        <color theme="1"/>
        <sz val="12.0"/>
      </rPr>
      <t xml:space="preserve"> </t>
    </r>
    <r>
      <rPr>
        <rFont val="Arial"/>
        <b/>
        <color theme="1"/>
        <sz val="22.0"/>
      </rPr>
      <t xml:space="preserve">ARQUEROS </t>
    </r>
  </si>
  <si>
    <t xml:space="preserve">4TA, 5TA Y 6TA </t>
  </si>
  <si>
    <r>
      <rPr>
        <rFont val="Arial"/>
        <b/>
        <color theme="1"/>
        <sz val="14.0"/>
      </rPr>
      <t xml:space="preserve">INFORME SEMANAL CONTROLES DE PESO  - DEPARTAMENTO DE NUTRICIÓN </t>
    </r>
    <r>
      <rPr>
        <rFont val="Arial"/>
        <b/>
        <color theme="1"/>
        <sz val="12.0"/>
      </rPr>
      <t xml:space="preserve"> </t>
    </r>
    <r>
      <rPr>
        <rFont val="Arial"/>
        <b/>
        <color theme="1"/>
        <sz val="22.0"/>
      </rPr>
      <t xml:space="preserve">ARQUEROS </t>
    </r>
  </si>
  <si>
    <t>7MA, 8VA Y 9NA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</si>
</sst>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-m-yy"/>
    <numFmt numFmtId="165" formatCode="d-mmm"/>
    <numFmt numFmtId="166" formatCode="dd-mmm"/>
    <numFmt numFmtId="167" formatCode="d-m"/>
    <numFmt numFmtId="168" formatCode="d/m"/>
    <numFmt numFmtId="169" formatCode="dd/mm/yy"/>
    <numFmt numFmtId="170" formatCode="dd/mm/yyyy"/>
    <numFmt numFmtId="171" formatCode="dd/mm"/>
    <numFmt numFmtId="172" formatCode="d/m/yyyy"/>
  </numFmts>
  <fonts count="32">
    <font>
      <sz val="10.0"/>
      <color rgb="FF000000"/>
      <name val="Arial"/>
      <scheme val="minor"/>
    </font>
    <font>
      <b/>
      <sz val="10.0"/>
      <color theme="1"/>
      <name val="Calibri"/>
    </font>
    <font>
      <b/>
      <sz val="8.0"/>
      <color theme="1"/>
      <name val="Calibri"/>
    </font>
    <font>
      <sz val="9.0"/>
      <color theme="1"/>
      <name val="Calibri"/>
    </font>
    <font>
      <color theme="1"/>
      <name val="Arial"/>
    </font>
    <font>
      <sz val="11.0"/>
      <color rgb="FF000000"/>
      <name val="Calibri"/>
    </font>
    <font>
      <color theme="1"/>
      <name val="Calibri"/>
    </font>
    <font>
      <b/>
      <color theme="1"/>
      <name val="Arial"/>
    </font>
    <font>
      <b/>
      <sz val="8.0"/>
      <color rgb="FFFFFFFF"/>
      <name val="Arial"/>
    </font>
    <font>
      <sz val="11.0"/>
      <color theme="1"/>
      <name val="Calibri"/>
    </font>
    <font/>
    <font>
      <sz val="10.0"/>
      <color theme="1"/>
      <name val="Calibri"/>
    </font>
    <font>
      <sz val="9.0"/>
      <color theme="1"/>
      <name val="Arial"/>
    </font>
    <font>
      <color rgb="FFFF0000"/>
      <name val="Arial"/>
    </font>
    <font>
      <color rgb="FFFF0000"/>
      <name val="Calibri"/>
    </font>
    <font>
      <color rgb="FF000000"/>
      <name val="Arial"/>
    </font>
    <font>
      <sz val="11.0"/>
      <color rgb="FFFF0000"/>
      <name val="Calibri"/>
    </font>
    <font>
      <color rgb="FFFF9900"/>
      <name val="Arial"/>
    </font>
    <font>
      <b/>
      <sz val="12.0"/>
      <color rgb="FFFFFFFF"/>
      <name val="Arial"/>
    </font>
    <font>
      <b/>
      <color theme="1"/>
      <name val="Calibri"/>
    </font>
    <font>
      <b/>
      <sz val="11.0"/>
      <color theme="1"/>
      <name val="Arial"/>
    </font>
    <font>
      <b/>
      <color rgb="FFFFFFFF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theme="1"/>
      <name val="Arial"/>
    </font>
    <font>
      <color theme="1"/>
      <name val="Comic Sans MS"/>
    </font>
    <font>
      <b/>
      <color rgb="FFFFFFFF"/>
      <name val="Calibri"/>
    </font>
    <font>
      <b/>
      <sz val="19.0"/>
      <color theme="1"/>
      <name val="Calibri"/>
    </font>
    <font>
      <b/>
      <sz val="19.0"/>
      <color theme="1"/>
      <name val="Arial"/>
    </font>
    <font>
      <b/>
      <color rgb="FF000000"/>
      <name val="Arial"/>
    </font>
    <font>
      <b/>
      <color theme="1"/>
      <name val="Comic Sans MS"/>
    </font>
    <font>
      <sz val="15.0"/>
      <color theme="1"/>
      <name val="Comic Sans MS"/>
    </font>
  </fonts>
  <fills count="2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EBF1DE"/>
        <bgColor rgb="FFEBF1DE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1155CC"/>
        <bgColor rgb="FF1155CC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980000"/>
      </left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2" fontId="2" numFmtId="164" xfId="0" applyAlignment="1" applyBorder="1" applyFont="1" applyNumberFormat="1">
      <alignment horizontal="center" vertical="bottom"/>
    </xf>
    <xf borderId="1" fillId="2" fontId="2" numFmtId="16" xfId="0" applyAlignment="1" applyBorder="1" applyFont="1" applyNumberFormat="1">
      <alignment horizontal="center" vertical="bottom"/>
    </xf>
    <xf borderId="1" fillId="2" fontId="2" numFmtId="165" xfId="0" applyAlignment="1" applyBorder="1" applyFont="1" applyNumberFormat="1">
      <alignment horizontal="center" vertical="bottom"/>
    </xf>
    <xf borderId="1" fillId="3" fontId="2" numFmtId="165" xfId="0" applyAlignment="1" applyBorder="1" applyFill="1" applyFont="1" applyNumberFormat="1">
      <alignment horizontal="center" vertical="bottom"/>
    </xf>
    <xf borderId="1" fillId="3" fontId="2" numFmtId="166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2" fillId="3" fontId="2" numFmtId="167" xfId="0" applyAlignment="1" applyBorder="1" applyFont="1" applyNumberFormat="1">
      <alignment horizontal="center" vertical="bottom"/>
    </xf>
    <xf borderId="1" fillId="3" fontId="3" numFmtId="168" xfId="0" applyAlignment="1" applyBorder="1" applyFont="1" applyNumberFormat="1">
      <alignment horizontal="center" vertical="bottom"/>
    </xf>
    <xf borderId="2" fillId="3" fontId="3" numFmtId="168" xfId="0" applyAlignment="1" applyBorder="1" applyFont="1" applyNumberFormat="1">
      <alignment horizontal="center" vertical="bottom"/>
    </xf>
    <xf borderId="1" fillId="0" fontId="4" numFmtId="0" xfId="0" applyBorder="1" applyFont="1"/>
    <xf borderId="3" fillId="4" fontId="5" numFmtId="0" xfId="0" applyAlignment="1" applyBorder="1" applyFill="1" applyFont="1">
      <alignment horizontal="left" readingOrder="0" shrinkToFit="0" vertical="bottom" wrapText="0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vertical="bottom"/>
    </xf>
    <xf borderId="1" fillId="5" fontId="6" numFmtId="0" xfId="0" applyAlignment="1" applyBorder="1" applyFill="1" applyFont="1">
      <alignment horizontal="center" vertical="bottom"/>
    </xf>
    <xf borderId="1" fillId="6" fontId="7" numFmtId="0" xfId="0" applyAlignment="1" applyBorder="1" applyFill="1" applyFont="1">
      <alignment horizontal="center"/>
    </xf>
    <xf borderId="1" fillId="0" fontId="4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4" fontId="4" numFmtId="0" xfId="0" applyAlignment="1" applyBorder="1" applyFont="1">
      <alignment horizontal="center"/>
    </xf>
    <xf borderId="1" fillId="7" fontId="4" numFmtId="0" xfId="0" applyAlignment="1" applyBorder="1" applyFill="1" applyFont="1">
      <alignment horizontal="center"/>
    </xf>
    <xf borderId="1" fillId="4" fontId="4" numFmtId="0" xfId="0" applyAlignment="1" applyBorder="1" applyFont="1">
      <alignment horizontal="right" vertical="bottom"/>
    </xf>
    <xf borderId="1" fillId="5" fontId="6" numFmtId="0" xfId="0" applyAlignment="1" applyBorder="1" applyFont="1">
      <alignment vertical="bottom"/>
    </xf>
    <xf borderId="1" fillId="4" fontId="4" numFmtId="0" xfId="0" applyBorder="1" applyFont="1"/>
    <xf borderId="0" fillId="4" fontId="4" numFmtId="0" xfId="0" applyFont="1"/>
    <xf borderId="1" fillId="4" fontId="5" numFmtId="0" xfId="0" applyAlignment="1" applyBorder="1" applyFont="1">
      <alignment horizontal="left" readingOrder="0" shrinkToFit="0" vertical="bottom" wrapText="0"/>
    </xf>
    <xf borderId="0" fillId="0" fontId="4" numFmtId="0" xfId="0" applyFont="1"/>
    <xf borderId="0" fillId="4" fontId="4" numFmtId="0" xfId="0" applyAlignment="1" applyFont="1">
      <alignment horizontal="center"/>
    </xf>
    <xf borderId="1" fillId="4" fontId="4" numFmtId="0" xfId="0" applyAlignment="1" applyBorder="1" applyFont="1">
      <alignment horizontal="center" vertical="bottom"/>
    </xf>
    <xf borderId="0" fillId="8" fontId="4" numFmtId="0" xfId="0" applyFill="1" applyFont="1"/>
    <xf borderId="1" fillId="4" fontId="4" numFmtId="0" xfId="0" applyAlignment="1" applyBorder="1" applyFont="1">
      <alignment vertical="bottom"/>
    </xf>
    <xf borderId="1" fillId="9" fontId="4" numFmtId="0" xfId="0" applyBorder="1" applyFill="1" applyFont="1"/>
    <xf borderId="0" fillId="0" fontId="4" numFmtId="0" xfId="0" applyAlignment="1" applyFont="1">
      <alignment horizontal="center"/>
    </xf>
    <xf borderId="0" fillId="0" fontId="6" numFmtId="0" xfId="0" applyAlignment="1" applyFont="1">
      <alignment vertical="bottom"/>
    </xf>
    <xf borderId="4" fillId="10" fontId="8" numFmtId="0" xfId="0" applyAlignment="1" applyBorder="1" applyFill="1" applyFont="1">
      <alignment horizontal="center" shrinkToFit="0" wrapText="1"/>
    </xf>
    <xf borderId="5" fillId="10" fontId="9" numFmtId="0" xfId="0" applyAlignment="1" applyBorder="1" applyFont="1">
      <alignment vertical="bottom"/>
    </xf>
    <xf borderId="5" fillId="0" fontId="10" numFmtId="0" xfId="0" applyBorder="1" applyFont="1"/>
    <xf borderId="0" fillId="10" fontId="9" numFmtId="0" xfId="0" applyAlignment="1" applyFont="1">
      <alignment vertical="bottom"/>
    </xf>
    <xf borderId="6" fillId="2" fontId="1" numFmtId="0" xfId="0" applyAlignment="1" applyBorder="1" applyFont="1">
      <alignment horizontal="center"/>
    </xf>
    <xf borderId="1" fillId="3" fontId="2" numFmtId="169" xfId="0" applyAlignment="1" applyBorder="1" applyFont="1" applyNumberFormat="1">
      <alignment horizontal="center" vertical="bottom"/>
    </xf>
    <xf borderId="0" fillId="3" fontId="3" numFmtId="168" xfId="0" applyAlignment="1" applyFont="1" applyNumberFormat="1">
      <alignment horizontal="center" vertical="bottom"/>
    </xf>
    <xf borderId="1" fillId="11" fontId="4" numFmtId="0" xfId="0" applyBorder="1" applyFill="1" applyFont="1"/>
    <xf borderId="7" fillId="0" fontId="4" numFmtId="0" xfId="0" applyAlignment="1" applyBorder="1" applyFont="1">
      <alignment horizontal="center"/>
    </xf>
    <xf borderId="1" fillId="4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4" fontId="12" numFmtId="0" xfId="0" applyAlignment="1" applyBorder="1" applyFont="1">
      <alignment horizontal="center"/>
    </xf>
    <xf borderId="1" fillId="5" fontId="12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1" fillId="4" fontId="4" numFmtId="170" xfId="0" applyAlignment="1" applyBorder="1" applyFont="1" applyNumberFormat="1">
      <alignment horizontal="center"/>
    </xf>
    <xf borderId="1" fillId="0" fontId="13" numFmtId="0" xfId="0" applyBorder="1" applyFont="1"/>
    <xf borderId="1" fillId="4" fontId="13" numFmtId="0" xfId="0" applyAlignment="1" applyBorder="1" applyFont="1">
      <alignment horizontal="center"/>
    </xf>
    <xf borderId="6" fillId="0" fontId="4" numFmtId="0" xfId="0" applyBorder="1" applyFont="1"/>
    <xf borderId="0" fillId="11" fontId="7" numFmtId="0" xfId="0" applyFont="1"/>
    <xf borderId="7" fillId="8" fontId="4" numFmtId="0" xfId="0" applyAlignment="1" applyBorder="1" applyFont="1">
      <alignment horizontal="center"/>
    </xf>
    <xf borderId="1" fillId="8" fontId="4" numFmtId="0" xfId="0" applyAlignment="1" applyBorder="1" applyFont="1">
      <alignment horizontal="center"/>
    </xf>
    <xf borderId="1" fillId="8" fontId="4" numFmtId="0" xfId="0" applyBorder="1" applyFont="1"/>
    <xf borderId="1" fillId="8" fontId="6" numFmtId="0" xfId="0" applyAlignment="1" applyBorder="1" applyFont="1">
      <alignment horizontal="center" vertical="bottom"/>
    </xf>
    <xf borderId="5" fillId="10" fontId="9" numFmtId="0" xfId="0" applyAlignment="1" applyBorder="1" applyFont="1">
      <alignment horizontal="center" vertical="bottom"/>
    </xf>
    <xf borderId="6" fillId="3" fontId="2" numFmtId="165" xfId="0" applyAlignment="1" applyBorder="1" applyFont="1" applyNumberFormat="1">
      <alignment horizontal="center" vertical="bottom"/>
    </xf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/>
    </xf>
    <xf borderId="8" fillId="12" fontId="6" numFmtId="0" xfId="0" applyAlignment="1" applyBorder="1" applyFill="1" applyFont="1">
      <alignment horizontal="center" vertical="bottom"/>
    </xf>
    <xf borderId="8" fillId="0" fontId="6" numFmtId="0" xfId="0" applyAlignment="1" applyBorder="1" applyFont="1">
      <alignment horizontal="center" vertical="bottom"/>
    </xf>
    <xf borderId="1" fillId="9" fontId="6" numFmtId="0" xfId="0" applyAlignment="1" applyBorder="1" applyFont="1">
      <alignment horizontal="center" vertical="bottom"/>
    </xf>
    <xf borderId="2" fillId="0" fontId="4" numFmtId="0" xfId="0" applyBorder="1" applyFont="1"/>
    <xf borderId="1" fillId="0" fontId="4" numFmtId="0" xfId="0" applyAlignment="1" applyBorder="1" applyFont="1">
      <alignment horizontal="center" vertical="bottom"/>
    </xf>
    <xf borderId="7" fillId="5" fontId="6" numFmtId="0" xfId="0" applyAlignment="1" applyBorder="1" applyFont="1">
      <alignment horizontal="center" vertical="bottom"/>
    </xf>
    <xf borderId="2" fillId="11" fontId="4" numFmtId="0" xfId="0" applyBorder="1" applyFont="1"/>
    <xf borderId="7" fillId="9" fontId="6" numFmtId="0" xfId="0" applyAlignment="1" applyBorder="1" applyFont="1">
      <alignment horizontal="center" vertical="bottom"/>
    </xf>
    <xf borderId="7" fillId="13" fontId="6" numFmtId="0" xfId="0" applyAlignment="1" applyBorder="1" applyFill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1" fillId="8" fontId="4" numFmtId="0" xfId="0" applyAlignment="1" applyBorder="1" applyFont="1">
      <alignment horizontal="center" vertical="bottom"/>
    </xf>
    <xf borderId="7" fillId="5" fontId="6" numFmtId="0" xfId="0" applyAlignment="1" applyBorder="1" applyFont="1">
      <alignment vertical="bottom"/>
    </xf>
    <xf borderId="1" fillId="12" fontId="6" numFmtId="0" xfId="0" applyAlignment="1" applyBorder="1" applyFont="1">
      <alignment horizontal="center" vertical="bottom"/>
    </xf>
    <xf borderId="7" fillId="7" fontId="6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/>
    </xf>
    <xf borderId="0" fillId="9" fontId="4" numFmtId="0" xfId="0" applyFont="1"/>
    <xf borderId="1" fillId="8" fontId="4" numFmtId="0" xfId="0" applyAlignment="1" applyBorder="1" applyFont="1">
      <alignment vertical="bottom"/>
    </xf>
    <xf borderId="0" fillId="8" fontId="4" numFmtId="0" xfId="0" applyAlignment="1" applyFont="1">
      <alignment horizontal="center"/>
    </xf>
    <xf borderId="2" fillId="0" fontId="4" numFmtId="0" xfId="0" applyAlignment="1" applyBorder="1" applyFont="1">
      <alignment horizontal="center"/>
    </xf>
    <xf borderId="0" fillId="5" fontId="6" numFmtId="0" xfId="0" applyAlignment="1" applyFont="1">
      <alignment vertical="bottom"/>
    </xf>
    <xf borderId="0" fillId="5" fontId="6" numFmtId="0" xfId="0" applyAlignment="1" applyFont="1">
      <alignment horizontal="center" vertical="bottom"/>
    </xf>
    <xf borderId="0" fillId="7" fontId="6" numFmtId="0" xfId="0" applyAlignment="1" applyFont="1">
      <alignment horizontal="center" vertical="bottom"/>
    </xf>
    <xf borderId="1" fillId="7" fontId="6" numFmtId="0" xfId="0" applyAlignment="1" applyBorder="1" applyFont="1">
      <alignment horizontal="center" vertical="bottom"/>
    </xf>
    <xf borderId="0" fillId="0" fontId="4" numFmtId="168" xfId="0" applyAlignment="1" applyFont="1" applyNumberFormat="1">
      <alignment vertical="bottom"/>
    </xf>
    <xf borderId="1" fillId="5" fontId="4" numFmtId="0" xfId="0" applyBorder="1" applyFont="1"/>
    <xf borderId="1" fillId="6" fontId="7" numFmtId="0" xfId="0" applyBorder="1" applyFont="1"/>
    <xf borderId="0" fillId="0" fontId="4" numFmtId="0" xfId="0" applyAlignment="1" applyFont="1">
      <alignment vertical="bottom"/>
    </xf>
    <xf borderId="1" fillId="5" fontId="4" numFmtId="0" xfId="0" applyAlignment="1" applyBorder="1" applyFont="1">
      <alignment horizontal="center" vertical="bottom"/>
    </xf>
    <xf borderId="1" fillId="0" fontId="15" numFmtId="0" xfId="0" applyBorder="1" applyFont="1"/>
    <xf borderId="1" fillId="0" fontId="15" numFmtId="0" xfId="0" applyAlignment="1" applyBorder="1" applyFont="1">
      <alignment horizontal="center"/>
    </xf>
    <xf borderId="1" fillId="4" fontId="13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vertical="bottom"/>
    </xf>
    <xf borderId="0" fillId="11" fontId="4" numFmtId="0" xfId="0" applyFont="1"/>
    <xf borderId="6" fillId="2" fontId="2" numFmtId="165" xfId="0" applyAlignment="1" applyBorder="1" applyFont="1" applyNumberFormat="1">
      <alignment horizontal="center" vertical="bottom"/>
    </xf>
    <xf borderId="6" fillId="3" fontId="2" numFmtId="171" xfId="0" applyAlignment="1" applyBorder="1" applyFont="1" applyNumberFormat="1">
      <alignment horizontal="center" vertical="bottom"/>
    </xf>
    <xf borderId="6" fillId="3" fontId="2" numFmtId="166" xfId="0" applyAlignment="1" applyBorder="1" applyFont="1" applyNumberFormat="1">
      <alignment horizontal="center" vertical="bottom"/>
    </xf>
    <xf borderId="8" fillId="3" fontId="2" numFmtId="165" xfId="0" applyAlignment="1" applyBorder="1" applyFont="1" applyNumberFormat="1">
      <alignment horizontal="center" vertical="bottom"/>
    </xf>
    <xf borderId="0" fillId="3" fontId="2" numFmtId="165" xfId="0" applyAlignment="1" applyFont="1" applyNumberFormat="1">
      <alignment horizontal="center" vertical="bottom"/>
    </xf>
    <xf borderId="9" fillId="3" fontId="2" numFmtId="165" xfId="0" applyAlignment="1" applyBorder="1" applyFont="1" applyNumberFormat="1">
      <alignment horizontal="center" vertical="bottom"/>
    </xf>
    <xf borderId="7" fillId="3" fontId="2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bottom"/>
    </xf>
    <xf borderId="2" fillId="8" fontId="4" numFmtId="0" xfId="0" applyAlignment="1" applyBorder="1" applyFont="1">
      <alignment horizontal="right" vertical="bottom"/>
    </xf>
    <xf borderId="0" fillId="8" fontId="4" numFmtId="0" xfId="0" applyAlignment="1" applyFont="1">
      <alignment horizontal="center" vertical="bottom"/>
    </xf>
    <xf borderId="7" fillId="8" fontId="4" numFmtId="0" xfId="0" applyAlignment="1" applyBorder="1" applyFont="1">
      <alignment horizontal="center" vertical="bottom"/>
    </xf>
    <xf borderId="1" fillId="3" fontId="2" numFmtId="171" xfId="0" applyAlignment="1" applyBorder="1" applyFont="1" applyNumberFormat="1">
      <alignment horizontal="center" vertical="bottom"/>
    </xf>
    <xf borderId="3" fillId="0" fontId="4" numFmtId="0" xfId="0" applyAlignment="1" applyBorder="1" applyFont="1">
      <alignment horizontal="center" vertical="bottom"/>
    </xf>
    <xf borderId="3" fillId="4" fontId="9" numFmtId="0" xfId="0" applyAlignment="1" applyBorder="1" applyFont="1">
      <alignment horizontal="center" vertical="bottom"/>
    </xf>
    <xf borderId="3" fillId="4" fontId="4" numFmtId="0" xfId="0" applyAlignment="1" applyBorder="1" applyFont="1">
      <alignment vertical="bottom"/>
    </xf>
    <xf borderId="3" fillId="0" fontId="9" numFmtId="0" xfId="0" applyAlignment="1" applyBorder="1" applyFont="1">
      <alignment horizontal="center" vertical="bottom"/>
    </xf>
    <xf borderId="3" fillId="4" fontId="6" numFmtId="0" xfId="0" applyAlignment="1" applyBorder="1" applyFont="1">
      <alignment horizontal="center" vertical="bottom"/>
    </xf>
    <xf borderId="3" fillId="0" fontId="13" numFmtId="0" xfId="0" applyAlignment="1" applyBorder="1" applyFont="1">
      <alignment horizontal="center" vertical="bottom"/>
    </xf>
    <xf borderId="3" fillId="8" fontId="9" numFmtId="0" xfId="0" applyAlignment="1" applyBorder="1" applyFont="1">
      <alignment horizontal="center" vertical="bottom"/>
    </xf>
    <xf borderId="3" fillId="8" fontId="6" numFmtId="0" xfId="0" applyAlignment="1" applyBorder="1" applyFont="1">
      <alignment horizontal="center" vertical="bottom"/>
    </xf>
    <xf borderId="3" fillId="4" fontId="13" numFmtId="0" xfId="0" applyAlignment="1" applyBorder="1" applyFont="1">
      <alignment vertical="bottom"/>
    </xf>
    <xf borderId="3" fillId="0" fontId="16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center" vertical="bottom"/>
    </xf>
    <xf borderId="3" fillId="0" fontId="15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vertical="bottom"/>
    </xf>
    <xf borderId="3" fillId="5" fontId="6" numFmtId="0" xfId="0" applyAlignment="1" applyBorder="1" applyFont="1">
      <alignment horizontal="center" vertical="bottom"/>
    </xf>
    <xf borderId="8" fillId="8" fontId="18" numFmtId="0" xfId="0" applyAlignment="1" applyBorder="1" applyFont="1">
      <alignment horizontal="center" shrinkToFit="0" vertical="bottom" wrapText="0"/>
    </xf>
    <xf borderId="10" fillId="0" fontId="10" numFmtId="0" xfId="0" applyBorder="1" applyFont="1"/>
    <xf borderId="0" fillId="14" fontId="6" numFmtId="0" xfId="0" applyAlignment="1" applyFill="1" applyFont="1">
      <alignment shrinkToFit="0" vertical="bottom" wrapText="0"/>
    </xf>
    <xf borderId="11" fillId="4" fontId="7" numFmtId="0" xfId="0" applyAlignment="1" applyBorder="1" applyFont="1">
      <alignment horizontal="center" shrinkToFit="0" vertical="center" wrapText="0"/>
    </xf>
    <xf borderId="12" fillId="4" fontId="7" numFmtId="0" xfId="0" applyAlignment="1" applyBorder="1" applyFont="1">
      <alignment horizontal="center" shrinkToFit="0" vertical="center" wrapText="0"/>
    </xf>
    <xf borderId="13" fillId="4" fontId="7" numFmtId="167" xfId="0" applyAlignment="1" applyBorder="1" applyFont="1" applyNumberFormat="1">
      <alignment horizontal="center" shrinkToFit="0" vertical="center" wrapText="0"/>
    </xf>
    <xf borderId="14" fillId="4" fontId="7" numFmtId="0" xfId="0" applyAlignment="1" applyBorder="1" applyFont="1">
      <alignment horizontal="center" shrinkToFit="0" vertical="center" wrapText="0"/>
    </xf>
    <xf borderId="1" fillId="4" fontId="19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center" shrinkToFit="0" vertical="center" wrapText="0"/>
    </xf>
    <xf borderId="15" fillId="0" fontId="10" numFmtId="0" xfId="0" applyBorder="1" applyFont="1"/>
    <xf borderId="16" fillId="0" fontId="10" numFmtId="0" xfId="0" applyBorder="1" applyFont="1"/>
    <xf borderId="0" fillId="14" fontId="19" numFmtId="0" xfId="0" applyAlignment="1" applyFont="1">
      <alignment shrinkToFit="0" vertical="bottom" wrapText="0"/>
    </xf>
    <xf borderId="17" fillId="0" fontId="10" numFmtId="0" xfId="0" applyBorder="1" applyFont="1"/>
    <xf borderId="18" fillId="0" fontId="10" numFmtId="0" xfId="0" applyBorder="1" applyFont="1"/>
    <xf borderId="19" fillId="4" fontId="19" numFmtId="0" xfId="0" applyAlignment="1" applyBorder="1" applyFont="1">
      <alignment horizontal="center" shrinkToFit="0" vertical="center" wrapText="0"/>
    </xf>
    <xf borderId="20" fillId="0" fontId="10" numFmtId="0" xfId="0" applyBorder="1" applyFont="1"/>
    <xf borderId="21" fillId="4" fontId="19" numFmtId="0" xfId="0" applyAlignment="1" applyBorder="1" applyFont="1">
      <alignment horizontal="center" shrinkToFit="0" vertical="center" wrapText="0"/>
    </xf>
    <xf borderId="12" fillId="4" fontId="7" numFmtId="0" xfId="0" applyAlignment="1" applyBorder="1" applyFont="1">
      <alignment vertical="center"/>
    </xf>
    <xf borderId="12" fillId="4" fontId="19" numFmtId="0" xfId="0" applyAlignment="1" applyBorder="1" applyFont="1">
      <alignment horizontal="center" shrinkToFit="0" vertical="center" wrapText="0"/>
    </xf>
    <xf borderId="13" fillId="4" fontId="19" numFmtId="168" xfId="0" applyAlignment="1" applyBorder="1" applyFont="1" applyNumberFormat="1">
      <alignment horizontal="center" shrinkToFit="0" vertical="center" wrapText="0"/>
    </xf>
    <xf borderId="1" fillId="9" fontId="7" numFmtId="0" xfId="0" applyAlignment="1" applyBorder="1" applyFont="1">
      <alignment vertical="center"/>
    </xf>
    <xf borderId="22" fillId="9" fontId="19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vertical="center"/>
    </xf>
    <xf borderId="22" fillId="4" fontId="19" numFmtId="0" xfId="0" applyAlignment="1" applyBorder="1" applyFont="1">
      <alignment horizontal="center" shrinkToFit="0" vertical="center" wrapText="0"/>
    </xf>
    <xf borderId="14" fillId="4" fontId="19" numFmtId="0" xfId="0" applyAlignment="1" applyBorder="1" applyFont="1">
      <alignment horizontal="center" shrinkToFit="0" vertical="center" wrapText="0"/>
    </xf>
    <xf borderId="0" fillId="4" fontId="7" numFmtId="0" xfId="0" applyAlignment="1" applyFont="1">
      <alignment vertical="center"/>
    </xf>
    <xf borderId="1" fillId="9" fontId="19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6" fillId="4" fontId="19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" fillId="9" fontId="7" numFmtId="0" xfId="0" applyAlignment="1" applyBorder="1" applyFont="1">
      <alignment horizontal="center" vertical="center"/>
    </xf>
    <xf borderId="19" fillId="11" fontId="7" numFmtId="0" xfId="0" applyAlignment="1" applyBorder="1" applyFont="1">
      <alignment vertical="center"/>
    </xf>
    <xf borderId="19" fillId="0" fontId="7" numFmtId="0" xfId="0" applyAlignment="1" applyBorder="1" applyFont="1">
      <alignment horizontal="center" vertical="center"/>
    </xf>
    <xf borderId="11" fillId="0" fontId="20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1" fillId="9" fontId="7" numFmtId="0" xfId="0" applyAlignment="1" applyBorder="1" applyFont="1">
      <alignment horizontal="center"/>
    </xf>
    <xf borderId="0" fillId="14" fontId="4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/>
    </xf>
    <xf borderId="1" fillId="8" fontId="21" numFmtId="0" xfId="0" applyAlignment="1" applyBorder="1" applyFont="1">
      <alignment horizontal="center"/>
    </xf>
    <xf borderId="19" fillId="0" fontId="7" numFmtId="0" xfId="0" applyAlignment="1" applyBorder="1" applyFont="1">
      <alignment horizontal="center"/>
    </xf>
    <xf borderId="22" fillId="0" fontId="4" numFmtId="0" xfId="0" applyBorder="1" applyFont="1"/>
    <xf borderId="23" fillId="4" fontId="7" numFmtId="167" xfId="0" applyAlignment="1" applyBorder="1" applyFont="1" applyNumberFormat="1">
      <alignment horizontal="center" shrinkToFit="0" vertical="center" wrapText="0"/>
    </xf>
    <xf borderId="22" fillId="4" fontId="7" numFmtId="167" xfId="0" applyAlignment="1" applyBorder="1" applyFont="1" applyNumberFormat="1">
      <alignment horizontal="center" shrinkToFit="0" vertical="center" wrapText="0"/>
    </xf>
    <xf borderId="0" fillId="0" fontId="4" numFmtId="167" xfId="0" applyFont="1" applyNumberFormat="1"/>
    <xf borderId="0" fillId="15" fontId="7" numFmtId="0" xfId="0" applyAlignment="1" applyFill="1" applyFont="1">
      <alignment horizontal="center"/>
    </xf>
    <xf borderId="0" fillId="16" fontId="22" numFmtId="0" xfId="0" applyAlignment="1" applyFill="1" applyFont="1">
      <alignment horizontal="center" vertical="bottom"/>
    </xf>
    <xf borderId="0" fillId="17" fontId="4" numFmtId="0" xfId="0" applyFill="1" applyFont="1"/>
    <xf borderId="2" fillId="8" fontId="22" numFmtId="0" xfId="0" applyAlignment="1" applyBorder="1" applyFont="1">
      <alignment horizontal="center" vertical="bottom"/>
    </xf>
    <xf borderId="7" fillId="0" fontId="10" numFmtId="0" xfId="0" applyBorder="1" applyFont="1"/>
    <xf borderId="2" fillId="15" fontId="22" numFmtId="0" xfId="0" applyAlignment="1" applyBorder="1" applyFont="1">
      <alignment horizontal="center" vertical="bottom"/>
    </xf>
    <xf borderId="2" fillId="18" fontId="22" numFmtId="0" xfId="0" applyAlignment="1" applyBorder="1" applyFill="1" applyFont="1">
      <alignment horizontal="center"/>
    </xf>
    <xf borderId="1" fillId="0" fontId="22" numFmtId="0" xfId="0" applyAlignment="1" applyBorder="1" applyFont="1">
      <alignment horizontal="center"/>
    </xf>
    <xf borderId="1" fillId="0" fontId="23" numFmtId="0" xfId="0" applyAlignment="1" applyBorder="1" applyFont="1">
      <alignment horizontal="center"/>
    </xf>
    <xf borderId="24" fillId="18" fontId="7" numFmtId="0" xfId="0" applyBorder="1" applyFont="1"/>
    <xf borderId="25" fillId="0" fontId="10" numFmtId="0" xfId="0" applyBorder="1" applyFont="1"/>
    <xf borderId="26" fillId="0" fontId="10" numFmtId="0" xfId="0" applyBorder="1" applyFont="1"/>
    <xf borderId="1" fillId="19" fontId="4" numFmtId="0" xfId="0" applyAlignment="1" applyBorder="1" applyFill="1" applyFont="1">
      <alignment vertical="bottom"/>
    </xf>
    <xf borderId="0" fillId="17" fontId="19" numFmtId="0" xfId="0" applyFont="1"/>
    <xf borderId="0" fillId="17" fontId="6" numFmtId="0" xfId="0" applyFont="1"/>
    <xf borderId="27" fillId="18" fontId="7" numFmtId="0" xfId="0" applyBorder="1" applyFont="1"/>
    <xf borderId="28" fillId="0" fontId="10" numFmtId="0" xfId="0" applyBorder="1" applyFont="1"/>
    <xf borderId="29" fillId="9" fontId="7" numFmtId="0" xfId="0" applyBorder="1" applyFont="1"/>
    <xf borderId="30" fillId="0" fontId="10" numFmtId="0" xfId="0" applyBorder="1" applyFont="1"/>
    <xf borderId="31" fillId="0" fontId="10" numFmtId="0" xfId="0" applyBorder="1" applyFont="1"/>
    <xf borderId="0" fillId="5" fontId="22" numFmtId="0" xfId="0" applyAlignment="1" applyFont="1">
      <alignment horizontal="center"/>
    </xf>
    <xf borderId="0" fillId="5" fontId="23" numFmtId="0" xfId="0" applyAlignment="1" applyFont="1">
      <alignment horizontal="center"/>
    </xf>
    <xf borderId="1" fillId="11" fontId="4" numFmtId="0" xfId="0" applyAlignment="1" applyBorder="1" applyFont="1">
      <alignment vertical="bottom"/>
    </xf>
    <xf borderId="32" fillId="4" fontId="7" numFmtId="0" xfId="0" applyAlignment="1" applyBorder="1" applyFont="1">
      <alignment horizontal="center"/>
    </xf>
    <xf borderId="33" fillId="7" fontId="7" numFmtId="0" xfId="0" applyAlignment="1" applyBorder="1" applyFont="1">
      <alignment horizontal="center"/>
    </xf>
    <xf borderId="33" fillId="8" fontId="7" numFmtId="0" xfId="0" applyAlignment="1" applyBorder="1" applyFont="1">
      <alignment horizontal="center"/>
    </xf>
    <xf borderId="33" fillId="20" fontId="7" numFmtId="0" xfId="0" applyAlignment="1" applyBorder="1" applyFill="1" applyFont="1">
      <alignment horizontal="center"/>
    </xf>
    <xf borderId="34" fillId="21" fontId="7" numFmtId="0" xfId="0" applyAlignment="1" applyBorder="1" applyFill="1" applyFont="1">
      <alignment horizontal="center"/>
    </xf>
    <xf borderId="35" fillId="4" fontId="7" numFmtId="0" xfId="0" applyAlignment="1" applyBorder="1" applyFont="1">
      <alignment horizontal="center"/>
    </xf>
    <xf borderId="0" fillId="22" fontId="7" numFmtId="0" xfId="0" applyFill="1" applyFont="1"/>
    <xf borderId="0" fillId="8" fontId="7" numFmtId="0" xfId="0" applyFont="1"/>
    <xf borderId="1" fillId="19" fontId="7" numFmtId="0" xfId="0" applyAlignment="1" applyBorder="1" applyFont="1">
      <alignment vertical="bottom"/>
    </xf>
    <xf borderId="0" fillId="19" fontId="7" numFmtId="0" xfId="0" applyFont="1"/>
    <xf borderId="1" fillId="0" fontId="7" numFmtId="0" xfId="0" applyAlignment="1" applyBorder="1" applyFont="1">
      <alignment horizontal="center" vertical="bottom"/>
    </xf>
    <xf borderId="0" fillId="11" fontId="4" numFmtId="0" xfId="0" applyAlignment="1" applyFont="1">
      <alignment vertical="bottom"/>
    </xf>
    <xf borderId="0" fillId="18" fontId="7" numFmtId="0" xfId="0" applyFont="1"/>
    <xf borderId="0" fillId="8" fontId="21" numFmtId="0" xfId="0" applyAlignment="1" applyFont="1">
      <alignment horizontal="center"/>
    </xf>
    <xf borderId="0" fillId="17" fontId="4" numFmtId="0" xfId="0" applyAlignment="1" applyFont="1">
      <alignment vertical="bottom"/>
    </xf>
    <xf borderId="1" fillId="19" fontId="7" numFmtId="0" xfId="0" applyBorder="1" applyFont="1"/>
    <xf borderId="0" fillId="23" fontId="4" numFmtId="0" xfId="0" applyFill="1" applyFont="1"/>
    <xf borderId="0" fillId="0" fontId="7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2" fillId="4" fontId="7" numFmtId="0" xfId="0" applyAlignment="1" applyBorder="1" applyFont="1">
      <alignment vertical="bottom"/>
    </xf>
    <xf borderId="1" fillId="0" fontId="7" numFmtId="0" xfId="0" applyBorder="1" applyFont="1"/>
    <xf borderId="0" fillId="23" fontId="7" numFmtId="0" xfId="0" applyFont="1"/>
    <xf borderId="2" fillId="0" fontId="7" numFmtId="0" xfId="0" applyAlignment="1" applyBorder="1" applyFont="1">
      <alignment vertical="bottom"/>
    </xf>
    <xf borderId="2" fillId="11" fontId="7" numFmtId="0" xfId="0" applyAlignment="1" applyBorder="1" applyFont="1">
      <alignment vertical="bottom"/>
    </xf>
    <xf borderId="1" fillId="11" fontId="7" numFmtId="0" xfId="0" applyAlignment="1" applyBorder="1" applyFont="1">
      <alignment vertical="bottom"/>
    </xf>
    <xf borderId="1" fillId="11" fontId="7" numFmtId="0" xfId="0" applyBorder="1" applyFont="1"/>
    <xf borderId="24" fillId="0" fontId="24" numFmtId="0" xfId="0" applyAlignment="1" applyBorder="1" applyFont="1">
      <alignment horizontal="left" shrinkToFit="0" wrapText="0"/>
    </xf>
    <xf borderId="0" fillId="14" fontId="25" numFmtId="0" xfId="0" applyAlignment="1" applyFont="1">
      <alignment shrinkToFit="0" vertical="bottom" wrapText="0"/>
    </xf>
    <xf borderId="27" fillId="0" fontId="10" numFmtId="0" xfId="0" applyBorder="1" applyFont="1"/>
    <xf borderId="29" fillId="0" fontId="10" numFmtId="0" xfId="0" applyBorder="1" applyFont="1"/>
    <xf borderId="0" fillId="14" fontId="4" numFmtId="0" xfId="0" applyAlignment="1" applyFont="1">
      <alignment vertical="bottom"/>
    </xf>
    <xf borderId="1" fillId="8" fontId="26" numFmtId="0" xfId="0" applyAlignment="1" applyBorder="1" applyFont="1">
      <alignment horizontal="right" shrinkToFit="0" vertical="bottom" wrapText="0"/>
    </xf>
    <xf borderId="36" fillId="8" fontId="26" numFmtId="0" xfId="0" applyAlignment="1" applyBorder="1" applyFont="1">
      <alignment horizontal="center" shrinkToFit="0" vertical="bottom" wrapText="0"/>
    </xf>
    <xf borderId="22" fillId="0" fontId="27" numFmtId="0" xfId="0" applyAlignment="1" applyBorder="1" applyFont="1">
      <alignment horizontal="right" shrinkToFit="0" vertical="bottom" wrapText="0"/>
    </xf>
    <xf borderId="7" fillId="0" fontId="28" numFmtId="172" xfId="0" applyAlignment="1" applyBorder="1" applyFont="1" applyNumberFormat="1">
      <alignment horizontal="center" shrinkToFit="0" vertical="bottom" wrapText="0"/>
    </xf>
    <xf borderId="35" fillId="8" fontId="18" numFmtId="0" xfId="0" applyAlignment="1" applyBorder="1" applyFont="1">
      <alignment horizontal="center" shrinkToFit="0" vertical="bottom" wrapText="0"/>
    </xf>
    <xf borderId="37" fillId="8" fontId="18" numFmtId="0" xfId="0" applyAlignment="1" applyBorder="1" applyFont="1">
      <alignment horizontal="center" shrinkToFit="0" vertical="bottom" wrapText="0"/>
    </xf>
    <xf borderId="38" fillId="0" fontId="10" numFmtId="0" xfId="0" applyBorder="1" applyFont="1"/>
    <xf borderId="39" fillId="0" fontId="10" numFmtId="0" xfId="0" applyBorder="1" applyFont="1"/>
    <xf borderId="37" fillId="24" fontId="29" numFmtId="0" xfId="0" applyAlignment="1" applyBorder="1" applyFill="1" applyFont="1">
      <alignment horizontal="center" shrinkToFit="0" vertical="bottom" wrapText="0"/>
    </xf>
    <xf borderId="35" fillId="24" fontId="29" numFmtId="0" xfId="0" applyAlignment="1" applyBorder="1" applyFont="1">
      <alignment horizontal="center" vertical="bottom"/>
    </xf>
    <xf borderId="38" fillId="24" fontId="29" numFmtId="0" xfId="0" applyAlignment="1" applyBorder="1" applyFont="1">
      <alignment horizontal="center" shrinkToFit="0" vertical="bottom" wrapText="0"/>
    </xf>
    <xf borderId="40" fillId="0" fontId="7" numFmtId="0" xfId="0" applyAlignment="1" applyBorder="1" applyFont="1">
      <alignment vertical="bottom"/>
    </xf>
    <xf borderId="40" fillId="0" fontId="7" numFmtId="0" xfId="0" applyAlignment="1" applyBorder="1" applyFont="1">
      <alignment horizontal="center" vertical="bottom"/>
    </xf>
    <xf borderId="22" fillId="0" fontId="7" numFmtId="0" xfId="0" applyAlignment="1" applyBorder="1" applyFont="1">
      <alignment horizontal="center" vertical="bottom"/>
    </xf>
    <xf borderId="41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0" fillId="14" fontId="7" numFmtId="0" xfId="0" applyAlignment="1" applyFont="1">
      <alignment horizontal="center" vertical="bottom"/>
    </xf>
    <xf borderId="37" fillId="4" fontId="7" numFmtId="0" xfId="0" applyAlignment="1" applyBorder="1" applyFont="1">
      <alignment horizontal="center" vertical="bottom"/>
    </xf>
    <xf borderId="27" fillId="4" fontId="7" numFmtId="0" xfId="0" applyAlignment="1" applyBorder="1" applyFont="1">
      <alignment vertical="bottom"/>
    </xf>
    <xf borderId="28" fillId="4" fontId="7" numFmtId="0" xfId="0" applyAlignment="1" applyBorder="1" applyFont="1">
      <alignment shrinkToFit="0" vertical="bottom" wrapText="0"/>
    </xf>
    <xf borderId="29" fillId="4" fontId="7" numFmtId="0" xfId="0" applyAlignment="1" applyBorder="1" applyFont="1">
      <alignment vertical="bottom"/>
    </xf>
    <xf borderId="31" fillId="4" fontId="7" numFmtId="0" xfId="0" applyAlignment="1" applyBorder="1" applyFont="1">
      <alignment shrinkToFit="0" vertical="bottom" wrapText="0"/>
    </xf>
    <xf borderId="2" fillId="9" fontId="7" numFmtId="0" xfId="0" applyBorder="1" applyFont="1"/>
    <xf borderId="0" fillId="9" fontId="30" numFmtId="0" xfId="0" applyAlignment="1" applyFont="1">
      <alignment shrinkToFit="0" vertical="bottom" wrapText="0"/>
    </xf>
    <xf borderId="0" fillId="9" fontId="25" numFmtId="0" xfId="0" applyAlignment="1" applyFont="1">
      <alignment shrinkToFit="0" vertical="bottom" wrapText="0"/>
    </xf>
    <xf borderId="0" fillId="14" fontId="30" numFmtId="0" xfId="0" applyAlignment="1" applyFont="1">
      <alignment shrinkToFit="0" vertical="bottom" wrapText="0"/>
    </xf>
    <xf borderId="35" fillId="24" fontId="29" numFmtId="0" xfId="0" applyAlignment="1" applyBorder="1" applyFont="1">
      <alignment horizontal="center" shrinkToFit="0" vertical="bottom" wrapText="0"/>
    </xf>
    <xf borderId="0" fillId="14" fontId="25" numFmtId="0" xfId="0" applyAlignment="1" applyFont="1">
      <alignment horizontal="center" shrinkToFit="0" vertical="bottom" wrapText="0"/>
    </xf>
    <xf borderId="32" fillId="8" fontId="18" numFmtId="0" xfId="0" applyAlignment="1" applyBorder="1" applyFont="1">
      <alignment horizontal="center" shrinkToFit="0" vertical="bottom" wrapText="0"/>
    </xf>
    <xf borderId="1" fillId="4" fontId="7" numFmtId="0" xfId="0" applyBorder="1" applyFont="1"/>
    <xf borderId="1" fillId="4" fontId="19" numFmtId="0" xfId="0" applyAlignment="1" applyBorder="1" applyFont="1">
      <alignment shrinkToFit="0" vertical="bottom" wrapText="0"/>
    </xf>
    <xf borderId="1" fillId="4" fontId="19" numFmtId="0" xfId="0" applyAlignment="1" applyBorder="1" applyFont="1">
      <alignment horizontal="center" shrinkToFit="0" vertical="bottom" wrapText="0"/>
    </xf>
    <xf borderId="42" fillId="8" fontId="18" numFmtId="0" xfId="0" applyAlignment="1" applyBorder="1" applyFont="1">
      <alignment horizontal="center" shrinkToFit="0" vertical="bottom" wrapText="0"/>
    </xf>
    <xf borderId="40" fillId="0" fontId="4" numFmtId="0" xfId="0" applyAlignment="1" applyBorder="1" applyFont="1">
      <alignment vertical="bottom"/>
    </xf>
    <xf borderId="22" fillId="0" fontId="4" numFmtId="0" xfId="0" applyAlignment="1" applyBorder="1" applyFont="1">
      <alignment vertical="bottom"/>
    </xf>
    <xf borderId="0" fillId="14" fontId="19" numFmtId="0" xfId="0" applyAlignment="1" applyFont="1">
      <alignment horizontal="center" shrinkToFit="0" vertical="bottom" wrapText="0"/>
    </xf>
    <xf borderId="41" fillId="0" fontId="4" numFmtId="0" xfId="0" applyAlignment="1" applyBorder="1" applyFont="1">
      <alignment vertical="bottom"/>
    </xf>
    <xf borderId="24" fillId="25" fontId="31" numFmtId="0" xfId="0" applyAlignment="1" applyBorder="1" applyFill="1" applyFont="1">
      <alignment horizontal="center" shrinkToFit="0" vertical="bottom" wrapText="0"/>
    </xf>
    <xf borderId="0" fillId="11" fontId="7" numFmtId="0" xfId="0" applyAlignment="1" applyFont="1">
      <alignment vertical="bottom"/>
    </xf>
    <xf borderId="1" fillId="23" fontId="7" numFmtId="0" xfId="0" applyAlignment="1" applyBorder="1" applyFont="1">
      <alignment horizontal="center"/>
    </xf>
    <xf borderId="1" fillId="26" fontId="7" numFmtId="0" xfId="0" applyAlignment="1" applyBorder="1" applyFill="1" applyFont="1">
      <alignment horizontal="center"/>
    </xf>
    <xf borderId="1" fillId="24" fontId="7" numFmtId="0" xfId="0" applyAlignment="1" applyBorder="1" applyFont="1">
      <alignment horizontal="center"/>
    </xf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>
        <color rgb="FF000000"/>
      </font>
      <fill>
        <patternFill patternType="solid">
          <fgColor rgb="FF1155CC"/>
          <bgColor rgb="FF1155CC"/>
        </patternFill>
      </fill>
      <border/>
    </dxf>
    <dxf>
      <font>
        <color rgb="FF000000"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1314450</xdr:colOff>
      <xdr:row>3</xdr:row>
      <xdr:rowOff>152400</xdr:rowOff>
    </xdr:from>
    <xdr:ext cx="942975" cy="1524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1314450</xdr:colOff>
      <xdr:row>3</xdr:row>
      <xdr:rowOff>152400</xdr:rowOff>
    </xdr:from>
    <xdr:ext cx="942975" cy="1524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1314450</xdr:colOff>
      <xdr:row>3</xdr:row>
      <xdr:rowOff>152400</xdr:rowOff>
    </xdr:from>
    <xdr:ext cx="942975" cy="1524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1314450</xdr:colOff>
      <xdr:row>3</xdr:row>
      <xdr:rowOff>152400</xdr:rowOff>
    </xdr:from>
    <xdr:ext cx="942975" cy="1524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1314450</xdr:colOff>
      <xdr:row>3</xdr:row>
      <xdr:rowOff>152400</xdr:rowOff>
    </xdr:from>
    <xdr:ext cx="942975" cy="1524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1314450</xdr:colOff>
      <xdr:row>3</xdr:row>
      <xdr:rowOff>152400</xdr:rowOff>
    </xdr:from>
    <xdr:ext cx="942975" cy="1524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1314450</xdr:colOff>
      <xdr:row>3</xdr:row>
      <xdr:rowOff>152400</xdr:rowOff>
    </xdr:from>
    <xdr:ext cx="942975" cy="1524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2009775</xdr:colOff>
      <xdr:row>3</xdr:row>
      <xdr:rowOff>171450</xdr:rowOff>
    </xdr:from>
    <xdr:ext cx="942975" cy="1524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2009775</xdr:colOff>
      <xdr:row>3</xdr:row>
      <xdr:rowOff>171450</xdr:rowOff>
    </xdr:from>
    <xdr:ext cx="942975" cy="1524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10.25"/>
    <col customWidth="1" min="3" max="3" width="6.25"/>
    <col customWidth="1" min="4" max="4" width="6.0"/>
    <col customWidth="1" min="5" max="5" width="6.25"/>
    <col customWidth="1" min="6" max="6" width="6.38"/>
    <col customWidth="1" min="7" max="7" width="7.75"/>
    <col customWidth="1" min="8" max="9" width="5.88"/>
    <col customWidth="1" min="10" max="10" width="5.38"/>
    <col customWidth="1" min="11" max="12" width="4.63"/>
    <col customWidth="1" min="13" max="13" width="6.0"/>
    <col customWidth="1" min="14" max="14" width="5.88"/>
    <col customWidth="1" min="15" max="17" width="6.13"/>
    <col customWidth="1" min="18" max="18" width="7.25"/>
    <col customWidth="1" min="19" max="20" width="6.75"/>
    <col customWidth="1" min="21" max="21" width="7.5"/>
    <col customWidth="1" min="22" max="26" width="7.25"/>
    <col customWidth="1" min="27" max="28" width="8.25"/>
    <col customWidth="1" min="29" max="29" width="7.88"/>
    <col customWidth="1" min="30" max="30" width="13.63"/>
  </cols>
  <sheetData>
    <row r="1" ht="15.75" customHeight="1">
      <c r="A1" s="1" t="s">
        <v>0</v>
      </c>
      <c r="B1" s="2" t="s">
        <v>1</v>
      </c>
      <c r="C1" s="3">
        <v>2024.0</v>
      </c>
      <c r="D1" s="4">
        <v>45679.0</v>
      </c>
      <c r="E1" s="4">
        <v>45686.0</v>
      </c>
      <c r="F1" s="5">
        <v>45728.0</v>
      </c>
      <c r="G1" s="5">
        <v>45735.0</v>
      </c>
      <c r="H1" s="5">
        <v>45749.0</v>
      </c>
      <c r="I1" s="6">
        <v>45756.0</v>
      </c>
      <c r="J1" s="6">
        <v>45763.0</v>
      </c>
      <c r="K1" s="6">
        <v>45770.0</v>
      </c>
      <c r="L1" s="6">
        <v>45777.0</v>
      </c>
      <c r="M1" s="7">
        <v>45784.0</v>
      </c>
      <c r="N1" s="7">
        <v>45791.0</v>
      </c>
      <c r="O1" s="7">
        <v>45798.0</v>
      </c>
      <c r="P1" s="7">
        <v>45805.0</v>
      </c>
      <c r="Q1" s="8">
        <v>45812.0</v>
      </c>
      <c r="R1" s="7">
        <v>45819.0</v>
      </c>
      <c r="S1" s="7">
        <v>45826.0</v>
      </c>
      <c r="T1" s="7">
        <v>45849.0</v>
      </c>
      <c r="U1" s="7">
        <v>45861.0</v>
      </c>
      <c r="V1" s="7">
        <v>45868.0</v>
      </c>
      <c r="W1" s="7">
        <v>45875.0</v>
      </c>
      <c r="X1" s="7">
        <v>45882.0</v>
      </c>
      <c r="Y1" s="7">
        <v>45889.0</v>
      </c>
      <c r="Z1" s="7">
        <v>45896.0</v>
      </c>
      <c r="AA1" s="7">
        <v>45903.0</v>
      </c>
      <c r="AB1" s="7">
        <v>45910.0</v>
      </c>
      <c r="AC1" s="7">
        <v>45917.0</v>
      </c>
      <c r="AD1" s="9" t="s">
        <v>2</v>
      </c>
      <c r="AE1" s="9" t="s">
        <v>3</v>
      </c>
      <c r="AF1" s="9" t="s">
        <v>4</v>
      </c>
      <c r="AG1" s="10"/>
      <c r="AH1" s="10"/>
      <c r="AI1" s="11"/>
      <c r="AJ1" s="11"/>
      <c r="AK1" s="12"/>
      <c r="AL1" s="11"/>
      <c r="AM1" s="11"/>
      <c r="AN1" s="11"/>
      <c r="AO1" s="11"/>
      <c r="AP1" s="12"/>
      <c r="AQ1" s="12"/>
      <c r="AR1" s="11"/>
      <c r="AS1" s="11"/>
      <c r="AT1" s="12"/>
      <c r="AU1" s="11"/>
      <c r="AV1" s="11"/>
      <c r="AW1" s="11"/>
    </row>
    <row r="2" ht="15.75" customHeight="1">
      <c r="A2" s="13" t="s">
        <v>5</v>
      </c>
      <c r="B2" s="14">
        <v>7.2079419E7</v>
      </c>
      <c r="C2" s="15">
        <v>68.9</v>
      </c>
      <c r="D2" s="15">
        <v>68.5</v>
      </c>
      <c r="E2" s="15">
        <v>69.4</v>
      </c>
      <c r="F2" s="15">
        <v>68.9</v>
      </c>
      <c r="G2" s="16">
        <v>69.0</v>
      </c>
      <c r="H2" s="15"/>
      <c r="I2" s="15" t="s">
        <v>6</v>
      </c>
      <c r="J2" s="13">
        <v>72.2</v>
      </c>
      <c r="K2" s="13"/>
      <c r="L2" s="13">
        <v>69.9</v>
      </c>
      <c r="M2" s="13"/>
      <c r="N2" s="13">
        <v>71.7</v>
      </c>
      <c r="O2" s="17">
        <v>71.8</v>
      </c>
      <c r="P2" s="18"/>
      <c r="Q2" s="19"/>
      <c r="R2" s="17"/>
      <c r="S2" s="18"/>
      <c r="T2" s="18"/>
      <c r="U2" s="18">
        <v>70.5</v>
      </c>
      <c r="V2" s="18"/>
      <c r="W2" s="18">
        <v>70.9</v>
      </c>
      <c r="X2" s="18">
        <v>71.7</v>
      </c>
      <c r="Y2" s="18"/>
      <c r="Z2" s="18">
        <v>71.3</v>
      </c>
      <c r="AA2" s="18">
        <v>71.4</v>
      </c>
      <c r="AB2" s="18">
        <v>71.5</v>
      </c>
      <c r="AC2" s="18">
        <v>71.3</v>
      </c>
      <c r="AD2" s="20" t="s">
        <v>7</v>
      </c>
      <c r="AE2" s="21">
        <f t="shared" ref="AE2:AE27" si="1">AC2-AB2</f>
        <v>-0.2</v>
      </c>
      <c r="AF2" s="21">
        <f t="shared" ref="AF2:AF3" si="2">AA2-C2</f>
        <v>2.5</v>
      </c>
    </row>
    <row r="3" ht="15.75" customHeight="1">
      <c r="A3" s="13" t="s">
        <v>8</v>
      </c>
      <c r="B3" s="14">
        <v>4.6660924E7</v>
      </c>
      <c r="C3" s="15">
        <v>78.8</v>
      </c>
      <c r="D3" s="15"/>
      <c r="E3" s="15"/>
      <c r="F3" s="15">
        <v>76.7</v>
      </c>
      <c r="G3" s="22"/>
      <c r="H3" s="15"/>
      <c r="I3" s="15"/>
      <c r="J3" s="13"/>
      <c r="K3" s="13"/>
      <c r="L3" s="13"/>
      <c r="M3" s="13"/>
      <c r="N3" s="13"/>
      <c r="O3" s="17"/>
      <c r="P3" s="18"/>
      <c r="Q3" s="19"/>
      <c r="R3" s="17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20" t="s">
        <v>9</v>
      </c>
      <c r="AE3" s="21">
        <f t="shared" si="1"/>
        <v>0</v>
      </c>
      <c r="AF3" s="21">
        <f t="shared" si="2"/>
        <v>-78.8</v>
      </c>
    </row>
    <row r="4" ht="15.75" customHeight="1">
      <c r="A4" s="13" t="s">
        <v>10</v>
      </c>
      <c r="B4" s="14">
        <v>4.6265094E7</v>
      </c>
      <c r="C4" s="15"/>
      <c r="D4" s="15">
        <v>62.4</v>
      </c>
      <c r="E4" s="15">
        <v>62.3</v>
      </c>
      <c r="F4" s="15">
        <v>61.9</v>
      </c>
      <c r="G4" s="16">
        <v>62.0</v>
      </c>
      <c r="H4" s="15"/>
      <c r="I4" s="15">
        <v>61.4</v>
      </c>
      <c r="J4" s="13">
        <v>62.0</v>
      </c>
      <c r="K4" s="13"/>
      <c r="L4" s="13"/>
      <c r="M4" s="13">
        <v>61.9</v>
      </c>
      <c r="N4" s="13">
        <v>62.0</v>
      </c>
      <c r="O4" s="23">
        <v>62.2</v>
      </c>
      <c r="P4" s="19">
        <v>61.4</v>
      </c>
      <c r="Q4" s="19">
        <v>62.0</v>
      </c>
      <c r="R4" s="17">
        <v>62.3</v>
      </c>
      <c r="S4" s="19">
        <v>62.0</v>
      </c>
      <c r="T4" s="19">
        <v>61.7</v>
      </c>
      <c r="U4" s="18"/>
      <c r="V4" s="18"/>
      <c r="W4" s="18">
        <v>63.2</v>
      </c>
      <c r="X4" s="18"/>
      <c r="Y4" s="18"/>
      <c r="Z4" s="18"/>
      <c r="AA4" s="24"/>
      <c r="AB4" s="24"/>
      <c r="AC4" s="24"/>
      <c r="AD4" s="25"/>
      <c r="AE4" s="21">
        <f t="shared" si="1"/>
        <v>0</v>
      </c>
      <c r="AF4" s="21">
        <f>AA4-D4</f>
        <v>-62.4</v>
      </c>
    </row>
    <row r="5" ht="15.75" customHeight="1">
      <c r="A5" s="13" t="s">
        <v>11</v>
      </c>
      <c r="B5" s="14">
        <v>4.7388944E7</v>
      </c>
      <c r="C5" s="15">
        <v>76.7</v>
      </c>
      <c r="D5" s="15"/>
      <c r="E5" s="15">
        <v>76.0</v>
      </c>
      <c r="F5" s="15">
        <v>77.3</v>
      </c>
      <c r="G5" s="16">
        <v>77.7</v>
      </c>
      <c r="H5" s="15">
        <v>77.9</v>
      </c>
      <c r="I5" s="15"/>
      <c r="J5" s="13">
        <v>78.9</v>
      </c>
      <c r="K5" s="13">
        <v>77.9</v>
      </c>
      <c r="L5" s="13">
        <v>77.9</v>
      </c>
      <c r="M5" s="13"/>
      <c r="N5" s="13"/>
      <c r="O5" s="17">
        <v>76.6</v>
      </c>
      <c r="P5" s="18"/>
      <c r="Q5" s="19"/>
      <c r="R5" s="17">
        <v>77.4</v>
      </c>
      <c r="S5" s="18">
        <v>77.8</v>
      </c>
      <c r="T5" s="18"/>
      <c r="U5" s="18"/>
      <c r="V5" s="18" t="s">
        <v>12</v>
      </c>
      <c r="W5" s="18">
        <v>78.0</v>
      </c>
      <c r="X5" s="18">
        <v>78.2</v>
      </c>
      <c r="Y5" s="18">
        <v>78.2</v>
      </c>
      <c r="Z5" s="18"/>
      <c r="AA5" s="18">
        <v>78.2</v>
      </c>
      <c r="AB5" s="18">
        <v>78.4</v>
      </c>
      <c r="AC5" s="18"/>
      <c r="AD5" s="20" t="s">
        <v>9</v>
      </c>
      <c r="AE5" s="21">
        <f t="shared" si="1"/>
        <v>-78.4</v>
      </c>
      <c r="AF5" s="21">
        <f>AA5-C5</f>
        <v>1.5</v>
      </c>
    </row>
    <row r="6" ht="15.75" customHeight="1">
      <c r="A6" s="13" t="s">
        <v>13</v>
      </c>
      <c r="B6" s="14">
        <v>4.7396035E7</v>
      </c>
      <c r="C6" s="15"/>
      <c r="D6" s="15"/>
      <c r="E6" s="15">
        <v>70.9</v>
      </c>
      <c r="F6" s="15">
        <v>70.8</v>
      </c>
      <c r="G6" s="26">
        <v>71.7</v>
      </c>
      <c r="H6" s="15">
        <v>72.1</v>
      </c>
      <c r="I6" s="15">
        <v>71.1</v>
      </c>
      <c r="J6" s="13">
        <v>72.9</v>
      </c>
      <c r="K6" s="13"/>
      <c r="L6" s="13">
        <v>72.1</v>
      </c>
      <c r="M6" s="13">
        <v>72.3</v>
      </c>
      <c r="N6" s="13">
        <v>72.7</v>
      </c>
      <c r="O6" s="17">
        <v>72.7</v>
      </c>
      <c r="P6" s="18">
        <v>73.5</v>
      </c>
      <c r="Q6" s="19">
        <v>74.0</v>
      </c>
      <c r="R6" s="17">
        <v>73.7</v>
      </c>
      <c r="S6" s="18">
        <v>74.4</v>
      </c>
      <c r="T6" s="18">
        <v>75.0</v>
      </c>
      <c r="U6" s="18">
        <v>73.8</v>
      </c>
      <c r="V6" s="18">
        <v>73.4</v>
      </c>
      <c r="W6" s="18">
        <v>74.1</v>
      </c>
      <c r="X6" s="18">
        <v>73.7</v>
      </c>
      <c r="Y6" s="18">
        <v>73.7</v>
      </c>
      <c r="Z6" s="18"/>
      <c r="AA6" s="19"/>
      <c r="AB6" s="19"/>
      <c r="AC6" s="19"/>
      <c r="AD6" s="27" t="s">
        <v>14</v>
      </c>
      <c r="AE6" s="21">
        <f t="shared" si="1"/>
        <v>0</v>
      </c>
      <c r="AF6" s="21">
        <f>AA6-E6</f>
        <v>-70.9</v>
      </c>
    </row>
    <row r="7" ht="15.75" customHeight="1">
      <c r="A7" s="13" t="s">
        <v>15</v>
      </c>
      <c r="B7" s="14">
        <v>4.7223356E7</v>
      </c>
      <c r="C7" s="15" t="s">
        <v>16</v>
      </c>
      <c r="D7" s="15">
        <v>64.1</v>
      </c>
      <c r="E7" s="15">
        <v>64.1</v>
      </c>
      <c r="F7" s="15">
        <v>62.6</v>
      </c>
      <c r="G7" s="16">
        <v>61.9</v>
      </c>
      <c r="H7" s="15">
        <v>61.1</v>
      </c>
      <c r="I7" s="15">
        <v>61.8</v>
      </c>
      <c r="J7" s="13">
        <v>62.4</v>
      </c>
      <c r="K7" s="13"/>
      <c r="L7" s="13">
        <v>61.9</v>
      </c>
      <c r="M7" s="13">
        <v>60.6</v>
      </c>
      <c r="N7" s="13">
        <v>61.0</v>
      </c>
      <c r="O7" s="17">
        <v>61.8</v>
      </c>
      <c r="P7" s="18">
        <v>62.1</v>
      </c>
      <c r="Q7" s="19">
        <v>61.9</v>
      </c>
      <c r="R7" s="17">
        <v>63.1</v>
      </c>
      <c r="S7" s="18">
        <v>62.7</v>
      </c>
      <c r="T7" s="18">
        <v>62.8</v>
      </c>
      <c r="U7" s="18">
        <v>63.0</v>
      </c>
      <c r="V7" s="18">
        <v>63.0</v>
      </c>
      <c r="W7" s="18">
        <v>62.7</v>
      </c>
      <c r="X7" s="18">
        <v>63.2</v>
      </c>
      <c r="Y7" s="18">
        <v>63.5</v>
      </c>
      <c r="Z7" s="18">
        <v>63.5</v>
      </c>
      <c r="AA7" s="24">
        <v>63.1</v>
      </c>
      <c r="AB7" s="24">
        <v>63.0</v>
      </c>
      <c r="AC7" s="24">
        <v>62.9</v>
      </c>
      <c r="AD7" s="25" t="s">
        <v>17</v>
      </c>
      <c r="AE7" s="21">
        <f t="shared" si="1"/>
        <v>-0.1</v>
      </c>
      <c r="AF7" s="21">
        <f>AA7-D7</f>
        <v>-1</v>
      </c>
    </row>
    <row r="8" ht="15.75" customHeight="1">
      <c r="A8" s="28" t="s">
        <v>18</v>
      </c>
      <c r="B8" s="14">
        <v>1.013108875E9</v>
      </c>
      <c r="C8" s="24">
        <v>70.2</v>
      </c>
      <c r="D8" s="24">
        <v>70.0</v>
      </c>
      <c r="E8" s="24">
        <v>69.9</v>
      </c>
      <c r="F8" s="24">
        <v>71.4</v>
      </c>
      <c r="G8" s="26">
        <v>71.4</v>
      </c>
      <c r="H8" s="24"/>
      <c r="I8" s="24">
        <v>71.8</v>
      </c>
      <c r="J8" s="28">
        <v>72.5</v>
      </c>
      <c r="K8" s="28">
        <v>73.0</v>
      </c>
      <c r="L8" s="28"/>
      <c r="M8" s="28">
        <v>71.7</v>
      </c>
      <c r="N8" s="28">
        <v>72.8</v>
      </c>
      <c r="O8" s="18">
        <v>72.6</v>
      </c>
      <c r="P8" s="18">
        <v>72.6</v>
      </c>
      <c r="Q8" s="19">
        <v>73.0</v>
      </c>
      <c r="R8" s="18">
        <v>72.8</v>
      </c>
      <c r="S8" s="18">
        <v>72.7</v>
      </c>
      <c r="T8" s="18">
        <v>73.3</v>
      </c>
      <c r="U8" s="18"/>
      <c r="V8" s="18">
        <v>72.5</v>
      </c>
      <c r="W8" s="18">
        <v>74.0</v>
      </c>
      <c r="X8" s="18"/>
      <c r="Y8" s="18">
        <v>78.2</v>
      </c>
      <c r="Z8" s="18"/>
      <c r="AA8" s="18">
        <v>73.0</v>
      </c>
      <c r="AB8" s="18">
        <v>73.2</v>
      </c>
      <c r="AC8" s="18">
        <v>72.5</v>
      </c>
      <c r="AD8" s="20" t="s">
        <v>14</v>
      </c>
      <c r="AE8" s="21">
        <f t="shared" si="1"/>
        <v>-0.7</v>
      </c>
      <c r="AF8" s="21">
        <f t="shared" ref="AF8:AF9" si="3">AA8-C8</f>
        <v>2.8</v>
      </c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</row>
    <row r="9" ht="16.5" customHeight="1">
      <c r="A9" s="13" t="s">
        <v>19</v>
      </c>
      <c r="B9" s="14">
        <v>4.7302245E7</v>
      </c>
      <c r="C9" s="15">
        <v>63.5</v>
      </c>
      <c r="D9" s="15">
        <v>64.8</v>
      </c>
      <c r="E9" s="15">
        <v>63.5</v>
      </c>
      <c r="F9" s="15"/>
      <c r="G9" s="22"/>
      <c r="H9" s="15"/>
      <c r="I9" s="15"/>
      <c r="J9" s="13">
        <v>65.1</v>
      </c>
      <c r="K9" s="13">
        <v>65.9</v>
      </c>
      <c r="L9" s="13">
        <v>65.7</v>
      </c>
      <c r="M9" s="13"/>
      <c r="N9" s="13">
        <v>66.2</v>
      </c>
      <c r="O9" s="17">
        <v>65.5</v>
      </c>
      <c r="P9" s="18">
        <v>66.7</v>
      </c>
      <c r="Q9" s="19">
        <v>67.0</v>
      </c>
      <c r="R9" s="17">
        <v>66.2</v>
      </c>
      <c r="S9" s="18">
        <v>66.5</v>
      </c>
      <c r="T9" s="18">
        <v>68.0</v>
      </c>
      <c r="U9" s="18">
        <v>67.3</v>
      </c>
      <c r="V9" s="18">
        <v>67.6</v>
      </c>
      <c r="W9" s="18">
        <v>67.7</v>
      </c>
      <c r="X9" s="18">
        <v>67.4</v>
      </c>
      <c r="Y9" s="18">
        <v>68.5</v>
      </c>
      <c r="Z9" s="18">
        <v>67.4</v>
      </c>
      <c r="AA9" s="18">
        <v>67.6</v>
      </c>
      <c r="AB9" s="18">
        <v>66.7</v>
      </c>
      <c r="AC9" s="18">
        <v>66.8</v>
      </c>
      <c r="AD9" s="20" t="s">
        <v>14</v>
      </c>
      <c r="AE9" s="21">
        <f t="shared" si="1"/>
        <v>0.1</v>
      </c>
      <c r="AF9" s="21">
        <f t="shared" si="3"/>
        <v>4.1</v>
      </c>
    </row>
    <row r="10" ht="15.75" customHeight="1">
      <c r="A10" s="13" t="s">
        <v>20</v>
      </c>
      <c r="B10" s="14">
        <v>4.7396035E7</v>
      </c>
      <c r="C10" s="15"/>
      <c r="D10" s="15">
        <v>79.8</v>
      </c>
      <c r="E10" s="15">
        <v>78.6</v>
      </c>
      <c r="F10" s="15">
        <v>77.5</v>
      </c>
      <c r="G10" s="16">
        <v>78.1</v>
      </c>
      <c r="H10" s="15">
        <v>76.4</v>
      </c>
      <c r="I10" s="15">
        <v>76.6</v>
      </c>
      <c r="J10" s="13">
        <v>76.2</v>
      </c>
      <c r="K10" s="13">
        <v>76.5</v>
      </c>
      <c r="L10" s="13">
        <v>76.8</v>
      </c>
      <c r="M10" s="13">
        <v>76.8</v>
      </c>
      <c r="N10" s="13">
        <v>76.3</v>
      </c>
      <c r="O10" s="17">
        <v>76.5</v>
      </c>
      <c r="P10" s="18">
        <v>75.9</v>
      </c>
      <c r="Q10" s="19">
        <v>76.0</v>
      </c>
      <c r="R10" s="17">
        <v>76.1</v>
      </c>
      <c r="S10" s="18">
        <v>76.0</v>
      </c>
      <c r="T10" s="18"/>
      <c r="U10" s="18">
        <v>77.4</v>
      </c>
      <c r="V10" s="18">
        <v>76.9</v>
      </c>
      <c r="W10" s="18">
        <v>76.8</v>
      </c>
      <c r="X10" s="18">
        <v>77.3</v>
      </c>
      <c r="Y10" s="18">
        <v>77.4</v>
      </c>
      <c r="Z10" s="18">
        <v>76.8</v>
      </c>
      <c r="AA10" s="18">
        <v>77.7</v>
      </c>
      <c r="AB10" s="18">
        <v>77.2</v>
      </c>
      <c r="AC10" s="18">
        <v>76.8</v>
      </c>
      <c r="AD10" s="20" t="s">
        <v>21</v>
      </c>
      <c r="AE10" s="21">
        <f t="shared" si="1"/>
        <v>-0.4</v>
      </c>
      <c r="AF10" s="21">
        <f>AA10-D10</f>
        <v>-2.1</v>
      </c>
    </row>
    <row r="11" ht="15.75" customHeight="1">
      <c r="A11" s="13" t="s">
        <v>22</v>
      </c>
      <c r="B11" s="14">
        <v>4.6153639E7</v>
      </c>
      <c r="C11" s="15">
        <v>83.9</v>
      </c>
      <c r="D11" s="15">
        <v>83.5</v>
      </c>
      <c r="E11" s="15">
        <v>82.5</v>
      </c>
      <c r="F11" s="15">
        <v>83.7</v>
      </c>
      <c r="G11" s="16">
        <v>83.9</v>
      </c>
      <c r="H11" s="15"/>
      <c r="I11" s="15"/>
      <c r="J11" s="13"/>
      <c r="K11" s="13"/>
      <c r="L11" s="13">
        <v>83.2</v>
      </c>
      <c r="M11" s="13"/>
      <c r="N11" s="13"/>
      <c r="O11" s="17"/>
      <c r="P11" s="18"/>
      <c r="Q11" s="19"/>
      <c r="R11" s="17"/>
      <c r="S11" s="18"/>
      <c r="T11" s="18"/>
      <c r="U11" s="18">
        <v>83.8</v>
      </c>
      <c r="V11" s="18">
        <v>83.5</v>
      </c>
      <c r="W11" s="18"/>
      <c r="X11" s="18">
        <v>82.9</v>
      </c>
      <c r="Y11" s="17" t="s">
        <v>23</v>
      </c>
      <c r="Z11" s="17"/>
      <c r="AA11" s="18"/>
      <c r="AB11" s="18"/>
      <c r="AC11" s="18"/>
      <c r="AD11" s="20"/>
      <c r="AE11" s="21">
        <f t="shared" si="1"/>
        <v>0</v>
      </c>
      <c r="AF11" s="21">
        <f>AA11-C11</f>
        <v>-83.9</v>
      </c>
    </row>
    <row r="12" ht="15.75" customHeight="1">
      <c r="A12" s="13" t="s">
        <v>24</v>
      </c>
      <c r="B12" s="14">
        <v>4.6418718E7</v>
      </c>
      <c r="C12" s="15"/>
      <c r="D12" s="15"/>
      <c r="E12" s="13"/>
      <c r="F12" s="13"/>
      <c r="G12" s="15"/>
      <c r="H12" s="15"/>
      <c r="I12" s="13"/>
      <c r="J12" s="13"/>
      <c r="K12" s="23"/>
      <c r="L12" s="23"/>
      <c r="M12" s="13"/>
      <c r="N12" s="13"/>
      <c r="O12" s="13"/>
      <c r="P12" s="13"/>
      <c r="Q12" s="13"/>
      <c r="R12" s="15"/>
      <c r="S12" s="13"/>
      <c r="T12" s="13"/>
      <c r="U12" s="13"/>
      <c r="V12" s="13" t="s">
        <v>25</v>
      </c>
      <c r="W12" s="13">
        <v>73.8</v>
      </c>
      <c r="X12" s="18"/>
      <c r="Y12" s="18">
        <v>73.0</v>
      </c>
      <c r="Z12" s="18">
        <v>72.8</v>
      </c>
      <c r="AA12" s="18">
        <v>73.5</v>
      </c>
      <c r="AB12" s="18">
        <v>72.3</v>
      </c>
      <c r="AC12" s="18">
        <v>72.5</v>
      </c>
      <c r="AD12" s="20"/>
      <c r="AE12" s="21">
        <f t="shared" si="1"/>
        <v>0.2</v>
      </c>
      <c r="AF12" s="21">
        <f>AA12-V12</f>
        <v>1.4</v>
      </c>
    </row>
    <row r="13" ht="15.75" customHeight="1">
      <c r="A13" s="13" t="s">
        <v>26</v>
      </c>
      <c r="B13" s="14">
        <v>4.6503125E7</v>
      </c>
      <c r="C13" s="15"/>
      <c r="D13" s="15"/>
      <c r="E13" s="15"/>
      <c r="F13" s="15">
        <v>74.1</v>
      </c>
      <c r="G13" s="22"/>
      <c r="H13" s="15"/>
      <c r="I13" s="15"/>
      <c r="J13" s="13">
        <v>84.4</v>
      </c>
      <c r="K13" s="13"/>
      <c r="L13" s="13"/>
      <c r="M13" s="13"/>
      <c r="N13" s="13"/>
      <c r="O13" s="17"/>
      <c r="P13" s="18"/>
      <c r="Q13" s="19"/>
      <c r="R13" s="17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20" t="s">
        <v>9</v>
      </c>
      <c r="AE13" s="21">
        <f t="shared" si="1"/>
        <v>0</v>
      </c>
      <c r="AF13" s="21">
        <f>AA13-F13</f>
        <v>-74.1</v>
      </c>
    </row>
    <row r="14" ht="15.75" customHeight="1">
      <c r="A14" s="13" t="s">
        <v>27</v>
      </c>
      <c r="B14" s="14">
        <v>4.7388493E7</v>
      </c>
      <c r="C14" s="15">
        <v>64.3</v>
      </c>
      <c r="D14" s="15">
        <v>65.6</v>
      </c>
      <c r="E14" s="15">
        <v>64.5</v>
      </c>
      <c r="F14" s="15">
        <v>63.6</v>
      </c>
      <c r="G14" s="16">
        <v>64.3</v>
      </c>
      <c r="H14" s="15">
        <v>63.7</v>
      </c>
      <c r="I14" s="15"/>
      <c r="J14" s="13">
        <v>63.1</v>
      </c>
      <c r="K14" s="13"/>
      <c r="L14" s="13">
        <v>64.1</v>
      </c>
      <c r="M14" s="13">
        <v>63.0</v>
      </c>
      <c r="N14" s="13">
        <v>64.2</v>
      </c>
      <c r="O14" s="17">
        <v>63.5</v>
      </c>
      <c r="P14" s="18"/>
      <c r="Q14" s="19">
        <v>64.0</v>
      </c>
      <c r="R14" s="17"/>
      <c r="S14" s="18">
        <v>64.4</v>
      </c>
      <c r="T14" s="18"/>
      <c r="U14" s="18">
        <v>63.4</v>
      </c>
      <c r="V14" s="18">
        <v>64.4</v>
      </c>
      <c r="W14" s="18"/>
      <c r="X14" s="18">
        <v>63.8</v>
      </c>
      <c r="Y14" s="18">
        <v>62.8</v>
      </c>
      <c r="Z14" s="18">
        <v>64.3</v>
      </c>
      <c r="AA14" s="18"/>
      <c r="AB14" s="18">
        <v>64.6</v>
      </c>
      <c r="AC14" s="18">
        <v>63.9</v>
      </c>
      <c r="AD14" s="20" t="s">
        <v>17</v>
      </c>
      <c r="AE14" s="21">
        <f t="shared" si="1"/>
        <v>-0.7</v>
      </c>
      <c r="AF14" s="21">
        <f t="shared" ref="AF14:AF18" si="4">AA14-C14</f>
        <v>-64.3</v>
      </c>
    </row>
    <row r="15" ht="15.75" customHeight="1">
      <c r="A15" s="13" t="s">
        <v>28</v>
      </c>
      <c r="B15" s="14">
        <v>4.5687569E7</v>
      </c>
      <c r="C15" s="15">
        <v>76.4</v>
      </c>
      <c r="D15" s="15">
        <v>74.8</v>
      </c>
      <c r="E15" s="15">
        <v>75.2</v>
      </c>
      <c r="F15" s="15">
        <v>74.7</v>
      </c>
      <c r="G15" s="16">
        <v>74.8</v>
      </c>
      <c r="H15" s="15">
        <v>75.2</v>
      </c>
      <c r="I15" s="15"/>
      <c r="J15" s="13">
        <v>74.7</v>
      </c>
      <c r="K15" s="13"/>
      <c r="L15" s="13">
        <v>74.3</v>
      </c>
      <c r="M15" s="13">
        <v>74.2</v>
      </c>
      <c r="N15" s="13">
        <v>74.6</v>
      </c>
      <c r="O15" s="17">
        <v>74.2</v>
      </c>
      <c r="P15" s="18">
        <v>74.3</v>
      </c>
      <c r="Q15" s="19">
        <v>73.6</v>
      </c>
      <c r="R15" s="17">
        <v>74.0</v>
      </c>
      <c r="S15" s="18">
        <v>74.3</v>
      </c>
      <c r="T15" s="18">
        <v>73.6</v>
      </c>
      <c r="U15" s="18">
        <v>74.1</v>
      </c>
      <c r="V15" s="18">
        <v>74.4</v>
      </c>
      <c r="W15" s="18"/>
      <c r="X15" s="18"/>
      <c r="Y15" s="18">
        <v>74.4</v>
      </c>
      <c r="Z15" s="17">
        <v>74.7</v>
      </c>
      <c r="AA15" s="24">
        <v>74.9</v>
      </c>
      <c r="AB15" s="24">
        <v>75.0</v>
      </c>
      <c r="AC15" s="24">
        <v>74.5</v>
      </c>
      <c r="AD15" s="25" t="s">
        <v>7</v>
      </c>
      <c r="AE15" s="21">
        <f t="shared" si="1"/>
        <v>-0.5</v>
      </c>
      <c r="AF15" s="21">
        <f t="shared" si="4"/>
        <v>-1.5</v>
      </c>
    </row>
    <row r="16" ht="15.75" customHeight="1">
      <c r="A16" s="13" t="s">
        <v>29</v>
      </c>
      <c r="B16" s="14">
        <v>4.7535569E7</v>
      </c>
      <c r="C16" s="15">
        <v>64.5</v>
      </c>
      <c r="D16" s="15">
        <v>66.1</v>
      </c>
      <c r="E16" s="15"/>
      <c r="F16" s="15">
        <v>65.8</v>
      </c>
      <c r="G16" s="16">
        <v>66.1</v>
      </c>
      <c r="H16" s="15"/>
      <c r="I16" s="15"/>
      <c r="J16" s="13">
        <v>66.7</v>
      </c>
      <c r="K16" s="13"/>
      <c r="L16" s="13">
        <v>66.5</v>
      </c>
      <c r="M16" s="13">
        <v>66.5</v>
      </c>
      <c r="N16" s="13">
        <v>66.4</v>
      </c>
      <c r="O16" s="17">
        <v>66.3</v>
      </c>
      <c r="P16" s="18"/>
      <c r="Q16" s="19"/>
      <c r="R16" s="17"/>
      <c r="S16" s="18">
        <v>67.1</v>
      </c>
      <c r="T16" s="18"/>
      <c r="U16" s="18">
        <v>67.4</v>
      </c>
      <c r="V16" s="18">
        <v>67.8</v>
      </c>
      <c r="W16" s="18"/>
      <c r="X16" s="18">
        <v>67.9</v>
      </c>
      <c r="Y16" s="18">
        <v>67.9</v>
      </c>
      <c r="Z16" s="18">
        <v>67.5</v>
      </c>
      <c r="AA16" s="19"/>
      <c r="AB16" s="19">
        <v>67.1</v>
      </c>
      <c r="AC16" s="19">
        <v>67.0</v>
      </c>
      <c r="AD16" s="27" t="s">
        <v>14</v>
      </c>
      <c r="AE16" s="21">
        <f t="shared" si="1"/>
        <v>-0.1</v>
      </c>
      <c r="AF16" s="21">
        <f t="shared" si="4"/>
        <v>-64.5</v>
      </c>
    </row>
    <row r="17" ht="15.75" customHeight="1">
      <c r="A17" s="13" t="s">
        <v>30</v>
      </c>
      <c r="B17" s="14">
        <v>4.7573081E7</v>
      </c>
      <c r="C17" s="15">
        <v>75.2</v>
      </c>
      <c r="D17" s="15"/>
      <c r="E17" s="15">
        <v>74.5</v>
      </c>
      <c r="F17" s="15">
        <v>72.6</v>
      </c>
      <c r="G17" s="22"/>
      <c r="H17" s="15"/>
      <c r="I17" s="15"/>
      <c r="J17" s="13">
        <v>73.5</v>
      </c>
      <c r="K17" s="13"/>
      <c r="L17" s="13">
        <v>73.6</v>
      </c>
      <c r="M17" s="13"/>
      <c r="N17" s="13">
        <v>73.7</v>
      </c>
      <c r="O17" s="17">
        <v>73.0</v>
      </c>
      <c r="P17" s="18">
        <v>74.4</v>
      </c>
      <c r="Q17" s="19">
        <v>75.2</v>
      </c>
      <c r="R17" s="17">
        <v>75.2</v>
      </c>
      <c r="S17" s="18">
        <v>74.9</v>
      </c>
      <c r="T17" s="18"/>
      <c r="U17" s="18">
        <v>77.1</v>
      </c>
      <c r="V17" s="18">
        <v>76.0</v>
      </c>
      <c r="W17" s="18">
        <v>76.8</v>
      </c>
      <c r="X17" s="18">
        <v>78.2</v>
      </c>
      <c r="Y17" s="18">
        <v>77.6</v>
      </c>
      <c r="Z17" s="18">
        <v>77.9</v>
      </c>
      <c r="AA17" s="24">
        <v>78.0</v>
      </c>
      <c r="AB17" s="24">
        <v>78.0</v>
      </c>
      <c r="AC17" s="24">
        <v>78.2</v>
      </c>
      <c r="AD17" s="25"/>
      <c r="AE17" s="21">
        <f t="shared" si="1"/>
        <v>0.2</v>
      </c>
      <c r="AF17" s="21">
        <f t="shared" si="4"/>
        <v>2.8</v>
      </c>
    </row>
    <row r="18" ht="15.75" customHeight="1">
      <c r="A18" s="13" t="s">
        <v>31</v>
      </c>
      <c r="B18" s="14">
        <v>4.7276825E7</v>
      </c>
      <c r="C18" s="15">
        <v>70.0</v>
      </c>
      <c r="D18" s="15"/>
      <c r="E18" s="15">
        <v>71.0</v>
      </c>
      <c r="F18" s="15">
        <v>71.1</v>
      </c>
      <c r="G18" s="16">
        <v>71.9</v>
      </c>
      <c r="H18" s="15"/>
      <c r="I18" s="15"/>
      <c r="J18" s="13">
        <v>72.4</v>
      </c>
      <c r="K18" s="13">
        <v>71.7</v>
      </c>
      <c r="L18" s="13"/>
      <c r="M18" s="13">
        <v>71.7</v>
      </c>
      <c r="N18" s="13"/>
      <c r="O18" s="23"/>
      <c r="P18" s="19"/>
      <c r="Q18" s="19">
        <v>72.1</v>
      </c>
      <c r="R18" s="17">
        <v>72.1</v>
      </c>
      <c r="S18" s="19"/>
      <c r="T18" s="19">
        <v>73.6</v>
      </c>
      <c r="U18" s="18">
        <v>71.6</v>
      </c>
      <c r="V18" s="18">
        <v>72.4</v>
      </c>
      <c r="W18" s="18">
        <v>72.3</v>
      </c>
      <c r="X18" s="18">
        <v>71.8</v>
      </c>
      <c r="Y18" s="18">
        <v>72.8</v>
      </c>
      <c r="Z18" s="18">
        <v>72.1</v>
      </c>
      <c r="AA18" s="19">
        <v>73.6</v>
      </c>
      <c r="AB18" s="19">
        <v>72.7</v>
      </c>
      <c r="AC18" s="19">
        <v>73.2</v>
      </c>
      <c r="AD18" s="27" t="s">
        <v>14</v>
      </c>
      <c r="AE18" s="21">
        <f t="shared" si="1"/>
        <v>0.5</v>
      </c>
      <c r="AF18" s="21">
        <f t="shared" si="4"/>
        <v>3.6</v>
      </c>
    </row>
    <row r="19" ht="15.75" customHeight="1">
      <c r="A19" s="13" t="s">
        <v>32</v>
      </c>
      <c r="B19" s="30">
        <v>4.5684467E7</v>
      </c>
      <c r="C19" s="15"/>
      <c r="D19" s="15"/>
      <c r="E19" s="15"/>
      <c r="F19" s="15">
        <v>69.5</v>
      </c>
      <c r="G19" s="16">
        <v>70.4</v>
      </c>
      <c r="H19" s="15"/>
      <c r="I19" s="15"/>
      <c r="J19" s="13">
        <v>70.5</v>
      </c>
      <c r="K19" s="13">
        <v>70.2</v>
      </c>
      <c r="L19" s="13">
        <v>70.9</v>
      </c>
      <c r="M19" s="13">
        <v>70.6</v>
      </c>
      <c r="N19" s="13">
        <v>70.6</v>
      </c>
      <c r="O19" s="23">
        <v>69.7</v>
      </c>
      <c r="P19" s="19">
        <v>70.3</v>
      </c>
      <c r="Q19" s="19">
        <v>71.1</v>
      </c>
      <c r="R19" s="17">
        <v>70.1</v>
      </c>
      <c r="S19" s="19">
        <v>70.2</v>
      </c>
      <c r="T19" s="19">
        <v>70.0</v>
      </c>
      <c r="U19" s="18"/>
      <c r="V19" s="18"/>
      <c r="W19" s="18">
        <v>71.3</v>
      </c>
      <c r="X19" s="18">
        <v>71.7</v>
      </c>
      <c r="Y19" s="17">
        <v>71.5</v>
      </c>
      <c r="Z19" s="17">
        <v>71.3</v>
      </c>
      <c r="AA19" s="24"/>
      <c r="AB19" s="24"/>
      <c r="AC19" s="24"/>
      <c r="AD19" s="25"/>
      <c r="AE19" s="21">
        <f t="shared" si="1"/>
        <v>0</v>
      </c>
      <c r="AF19" s="21">
        <f>AA19-F19</f>
        <v>-69.5</v>
      </c>
    </row>
    <row r="20" ht="15.75" customHeight="1">
      <c r="A20" s="31" t="s">
        <v>33</v>
      </c>
      <c r="B20" s="14">
        <v>4.7403526E7</v>
      </c>
      <c r="AA20" s="32"/>
      <c r="AB20" s="32">
        <v>86.8</v>
      </c>
      <c r="AC20" s="31">
        <v>86.0</v>
      </c>
      <c r="AE20" s="21">
        <f t="shared" si="1"/>
        <v>-0.8</v>
      </c>
    </row>
    <row r="21" ht="15.75" customHeight="1">
      <c r="A21" s="28" t="s">
        <v>34</v>
      </c>
      <c r="B21" s="14">
        <v>4.7176715E7</v>
      </c>
      <c r="C21" s="24">
        <v>83.4</v>
      </c>
      <c r="D21" s="24">
        <v>86.9</v>
      </c>
      <c r="E21" s="24">
        <v>86.2</v>
      </c>
      <c r="F21" s="24">
        <v>83.1</v>
      </c>
      <c r="G21" s="33">
        <v>84.1</v>
      </c>
      <c r="H21" s="24">
        <v>84.1</v>
      </c>
      <c r="I21" s="24"/>
      <c r="J21" s="24">
        <v>84.0</v>
      </c>
      <c r="K21" s="24">
        <v>84.7</v>
      </c>
      <c r="L21" s="24">
        <v>82.8</v>
      </c>
      <c r="M21" s="28">
        <v>85.8</v>
      </c>
      <c r="N21" s="28">
        <v>83.4</v>
      </c>
      <c r="O21" s="18">
        <v>84.6</v>
      </c>
      <c r="P21" s="18">
        <v>85.2</v>
      </c>
      <c r="Q21" s="19"/>
      <c r="R21" s="18"/>
      <c r="S21" s="18"/>
      <c r="T21" s="18"/>
      <c r="U21" s="18"/>
      <c r="V21" s="18"/>
      <c r="W21" s="18"/>
      <c r="X21" s="18"/>
      <c r="Y21" s="18"/>
      <c r="Z21" s="18"/>
      <c r="AA21" s="20"/>
      <c r="AB21" s="20"/>
      <c r="AC21" s="20"/>
      <c r="AD21" s="20"/>
      <c r="AE21" s="21">
        <f t="shared" si="1"/>
        <v>0</v>
      </c>
      <c r="AF21" s="34"/>
    </row>
    <row r="22" ht="15.75" customHeight="1">
      <c r="A22" s="28" t="s">
        <v>35</v>
      </c>
      <c r="B22" s="14">
        <v>4.697905E7</v>
      </c>
      <c r="C22" s="24">
        <v>83.0</v>
      </c>
      <c r="D22" s="24">
        <v>83.2</v>
      </c>
      <c r="E22" s="24">
        <v>84.6</v>
      </c>
      <c r="F22" s="24"/>
      <c r="G22" s="35"/>
      <c r="H22" s="24"/>
      <c r="I22" s="24"/>
      <c r="J22" s="28"/>
      <c r="K22" s="28"/>
      <c r="L22" s="28"/>
      <c r="M22" s="28"/>
      <c r="N22" s="28"/>
      <c r="O22" s="18"/>
      <c r="P22" s="18"/>
      <c r="Q22" s="19"/>
      <c r="R22" s="18"/>
      <c r="S22" s="18"/>
      <c r="T22" s="18"/>
      <c r="U22" s="18"/>
      <c r="V22" s="18"/>
      <c r="W22" s="18"/>
      <c r="X22" s="18"/>
      <c r="Y22" s="18"/>
      <c r="Z22" s="18"/>
      <c r="AA22" s="20"/>
      <c r="AB22" s="20"/>
      <c r="AC22" s="20"/>
      <c r="AD22" s="20"/>
      <c r="AE22" s="21">
        <f t="shared" si="1"/>
        <v>0</v>
      </c>
      <c r="AF22" s="34"/>
      <c r="AG22" s="34"/>
    </row>
    <row r="23" ht="15.75" customHeight="1">
      <c r="A23" s="28" t="s">
        <v>36</v>
      </c>
      <c r="B23" s="14">
        <v>4.7793015E7</v>
      </c>
      <c r="C23" s="24">
        <v>75.4</v>
      </c>
      <c r="D23" s="24">
        <v>75.4</v>
      </c>
      <c r="E23" s="24"/>
      <c r="F23" s="24"/>
      <c r="G23" s="35"/>
      <c r="H23" s="24"/>
      <c r="I23" s="24"/>
      <c r="J23" s="28"/>
      <c r="K23" s="28"/>
      <c r="L23" s="28"/>
      <c r="M23" s="28"/>
      <c r="N23" s="28"/>
      <c r="O23" s="18"/>
      <c r="P23" s="18"/>
      <c r="Q23" s="19"/>
      <c r="R23" s="18"/>
      <c r="S23" s="18"/>
      <c r="T23" s="18"/>
      <c r="U23" s="18"/>
      <c r="V23" s="18"/>
      <c r="W23" s="18"/>
      <c r="X23" s="18"/>
      <c r="Y23" s="18"/>
      <c r="Z23" s="18"/>
      <c r="AA23" s="20"/>
      <c r="AB23" s="20"/>
      <c r="AC23" s="20"/>
      <c r="AD23" s="20"/>
      <c r="AE23" s="21">
        <f t="shared" si="1"/>
        <v>0</v>
      </c>
      <c r="AF23" s="34"/>
    </row>
    <row r="24" ht="15.75" customHeight="1">
      <c r="A24" s="13" t="s">
        <v>37</v>
      </c>
      <c r="B24" s="14">
        <v>4.658278E7</v>
      </c>
      <c r="C24" s="15">
        <v>63.8</v>
      </c>
      <c r="D24" s="15"/>
      <c r="E24" s="15"/>
      <c r="F24" s="15">
        <v>67.2</v>
      </c>
      <c r="G24" s="22"/>
      <c r="H24" s="15">
        <v>70.8</v>
      </c>
      <c r="I24" s="15"/>
      <c r="J24" s="13"/>
      <c r="K24" s="13"/>
      <c r="L24" s="13"/>
      <c r="M24" s="13"/>
      <c r="N24" s="13"/>
      <c r="O24" s="23"/>
      <c r="P24" s="19"/>
      <c r="Q24" s="19"/>
      <c r="R24" s="17"/>
      <c r="S24" s="19"/>
      <c r="T24" s="19"/>
      <c r="U24" s="18"/>
      <c r="V24" s="18"/>
      <c r="W24" s="18"/>
      <c r="X24" s="18"/>
      <c r="Y24" s="18"/>
      <c r="Z24" s="18"/>
      <c r="AA24" s="27"/>
      <c r="AB24" s="27"/>
      <c r="AC24" s="27"/>
      <c r="AD24" s="27"/>
      <c r="AE24" s="21">
        <f t="shared" si="1"/>
        <v>0</v>
      </c>
    </row>
    <row r="25" ht="15.75" customHeight="1">
      <c r="A25" s="36" t="s">
        <v>38</v>
      </c>
      <c r="B25" s="14">
        <v>4.6329651E7</v>
      </c>
      <c r="C25" s="15">
        <v>85.2</v>
      </c>
      <c r="D25" s="15">
        <v>85.8</v>
      </c>
      <c r="E25" s="15">
        <v>85.7</v>
      </c>
      <c r="F25" s="15"/>
      <c r="G25" s="22"/>
      <c r="H25" s="15">
        <v>82.0</v>
      </c>
      <c r="I25" s="15"/>
      <c r="J25" s="13">
        <v>84.4</v>
      </c>
      <c r="K25" s="13"/>
      <c r="L25" s="13"/>
      <c r="M25" s="13"/>
      <c r="N25" s="13"/>
      <c r="O25" s="17"/>
      <c r="P25" s="18"/>
      <c r="Q25" s="19"/>
      <c r="R25" s="17"/>
      <c r="S25" s="18"/>
      <c r="T25" s="18"/>
      <c r="U25" s="18"/>
      <c r="V25" s="18"/>
      <c r="W25" s="18"/>
      <c r="X25" s="18"/>
      <c r="Y25" s="18"/>
      <c r="Z25" s="18"/>
      <c r="AA25" s="20"/>
      <c r="AB25" s="20">
        <v>84.1</v>
      </c>
      <c r="AC25" s="20">
        <v>83.9</v>
      </c>
      <c r="AD25" s="20"/>
      <c r="AE25" s="21">
        <f t="shared" si="1"/>
        <v>-0.2</v>
      </c>
    </row>
    <row r="26" ht="15.75" customHeight="1">
      <c r="A26" s="13" t="s">
        <v>39</v>
      </c>
      <c r="B26" s="14">
        <v>5.2219585E7</v>
      </c>
      <c r="C26" s="15">
        <v>76.3</v>
      </c>
      <c r="D26" s="15">
        <v>76.8</v>
      </c>
      <c r="E26" s="15">
        <v>77.5</v>
      </c>
      <c r="F26" s="15">
        <v>77.9</v>
      </c>
      <c r="G26" s="16">
        <v>79.1</v>
      </c>
      <c r="H26" s="15">
        <v>77.3</v>
      </c>
      <c r="I26" s="15">
        <v>77.2</v>
      </c>
      <c r="J26" s="13"/>
      <c r="K26" s="13">
        <v>77.7</v>
      </c>
      <c r="L26" s="13">
        <v>76.7</v>
      </c>
      <c r="M26" s="13">
        <v>78.1</v>
      </c>
      <c r="N26" s="13">
        <v>79.0</v>
      </c>
      <c r="O26" s="23">
        <v>79.1</v>
      </c>
      <c r="P26" s="19">
        <v>79.7</v>
      </c>
      <c r="Q26" s="19">
        <v>80.0</v>
      </c>
      <c r="R26" s="17">
        <v>79.8</v>
      </c>
      <c r="S26" s="19">
        <v>81.5</v>
      </c>
      <c r="T26" s="19"/>
      <c r="U26" s="18"/>
      <c r="V26" s="18"/>
      <c r="W26" s="18"/>
      <c r="X26" s="18"/>
      <c r="Y26" s="18"/>
      <c r="Z26" s="18"/>
      <c r="AA26" s="20"/>
      <c r="AB26" s="20"/>
      <c r="AC26" s="20"/>
      <c r="AD26" s="20"/>
      <c r="AE26" s="21">
        <f t="shared" si="1"/>
        <v>0</v>
      </c>
    </row>
    <row r="27" ht="15.75" customHeight="1">
      <c r="A27" s="13" t="s">
        <v>40</v>
      </c>
      <c r="B27" s="15"/>
      <c r="C27" s="15">
        <v>71.1</v>
      </c>
      <c r="D27" s="15">
        <v>71.7</v>
      </c>
      <c r="E27" s="15">
        <v>71.4</v>
      </c>
      <c r="F27" s="15">
        <v>71.5</v>
      </c>
      <c r="G27" s="26">
        <v>72.4</v>
      </c>
      <c r="H27" s="15">
        <v>72.1</v>
      </c>
      <c r="I27" s="15">
        <v>72.9</v>
      </c>
      <c r="J27" s="13">
        <v>71.9</v>
      </c>
      <c r="K27" s="13"/>
      <c r="L27" s="13">
        <v>73.1</v>
      </c>
      <c r="M27" s="13"/>
      <c r="N27" s="13">
        <v>73.1</v>
      </c>
      <c r="O27" s="17"/>
      <c r="P27" s="18">
        <v>74.0</v>
      </c>
      <c r="Q27" s="19">
        <v>73.9</v>
      </c>
      <c r="R27" s="17"/>
      <c r="S27" s="18">
        <v>74.2</v>
      </c>
      <c r="T27" s="18">
        <v>73.7</v>
      </c>
      <c r="U27" s="18"/>
      <c r="V27" s="18"/>
      <c r="W27" s="18"/>
      <c r="X27" s="18"/>
      <c r="Y27" s="18"/>
      <c r="Z27" s="18"/>
      <c r="AA27" s="27"/>
      <c r="AB27" s="27"/>
      <c r="AC27" s="27"/>
      <c r="AD27" s="27"/>
      <c r="AE27" s="21">
        <f t="shared" si="1"/>
        <v>0</v>
      </c>
    </row>
    <row r="28" ht="15.75" customHeight="1">
      <c r="B28" s="37"/>
      <c r="C28" s="37"/>
      <c r="D28" s="37"/>
      <c r="K28" s="38"/>
      <c r="L28" s="38"/>
      <c r="AE28" s="38"/>
    </row>
    <row r="29" ht="15.75" customHeight="1">
      <c r="B29" s="37"/>
      <c r="C29" s="37"/>
      <c r="D29" s="37"/>
      <c r="K29" s="38"/>
      <c r="L29" s="38"/>
      <c r="AE29" s="38"/>
    </row>
    <row r="30" ht="15.75" customHeight="1">
      <c r="B30" s="37"/>
      <c r="C30" s="37"/>
      <c r="D30" s="37"/>
      <c r="K30" s="38"/>
      <c r="L30" s="38"/>
      <c r="AE30" s="38"/>
    </row>
    <row r="31" ht="15.75" customHeight="1">
      <c r="B31" s="37"/>
      <c r="C31" s="37"/>
      <c r="D31" s="37"/>
    </row>
    <row r="32" ht="15.75" customHeight="1">
      <c r="B32" s="37"/>
      <c r="C32" s="37"/>
      <c r="D32" s="37"/>
    </row>
    <row r="33" ht="15.75" customHeight="1">
      <c r="B33" s="37"/>
      <c r="C33" s="37"/>
      <c r="D33" s="37"/>
    </row>
    <row r="34" ht="15.75" customHeight="1">
      <c r="B34" s="37"/>
      <c r="C34" s="37"/>
      <c r="D34" s="37"/>
    </row>
    <row r="35" ht="15.75" customHeight="1">
      <c r="B35" s="37"/>
      <c r="C35" s="37"/>
      <c r="D35" s="37"/>
    </row>
    <row r="36" ht="15.75" customHeight="1">
      <c r="B36" s="37"/>
      <c r="C36" s="37"/>
      <c r="D36" s="37"/>
    </row>
    <row r="37" ht="15.75" customHeight="1">
      <c r="B37" s="37"/>
      <c r="C37" s="37"/>
      <c r="D37" s="37"/>
    </row>
    <row r="38" ht="15.75" customHeight="1">
      <c r="B38" s="37"/>
      <c r="C38" s="37"/>
      <c r="D38" s="37"/>
    </row>
    <row r="39" ht="15.75" customHeight="1">
      <c r="B39" s="37"/>
      <c r="C39" s="37"/>
      <c r="D39" s="37"/>
    </row>
    <row r="40" ht="15.75" customHeight="1">
      <c r="B40" s="37"/>
      <c r="C40" s="37"/>
      <c r="D40" s="37"/>
    </row>
    <row r="41" ht="15.75" customHeight="1">
      <c r="B41" s="37"/>
      <c r="C41" s="37"/>
      <c r="D41" s="37"/>
    </row>
    <row r="42" ht="15.75" customHeight="1">
      <c r="B42" s="37"/>
      <c r="C42" s="37"/>
      <c r="D42" s="37"/>
    </row>
    <row r="43" ht="15.75" customHeight="1">
      <c r="B43" s="37"/>
      <c r="C43" s="37"/>
      <c r="D43" s="37"/>
    </row>
    <row r="44" ht="15.75" customHeight="1">
      <c r="B44" s="37"/>
      <c r="C44" s="37"/>
      <c r="D44" s="37"/>
    </row>
    <row r="45" ht="15.75" customHeight="1">
      <c r="B45" s="37"/>
      <c r="C45" s="37"/>
      <c r="D45" s="37"/>
    </row>
    <row r="46" ht="15.75" customHeight="1">
      <c r="B46" s="37"/>
      <c r="C46" s="37"/>
      <c r="D46" s="37"/>
    </row>
    <row r="47" ht="15.75" customHeight="1">
      <c r="B47" s="37"/>
      <c r="C47" s="37"/>
      <c r="D47" s="37"/>
    </row>
    <row r="48" ht="15.75" customHeight="1">
      <c r="B48" s="37"/>
      <c r="C48" s="37"/>
      <c r="D48" s="37"/>
    </row>
    <row r="49" ht="15.75" customHeight="1">
      <c r="B49" s="37"/>
      <c r="C49" s="37"/>
      <c r="D49" s="37"/>
    </row>
    <row r="50" ht="15.75" customHeight="1">
      <c r="B50" s="37"/>
      <c r="C50" s="37"/>
      <c r="D50" s="37"/>
    </row>
    <row r="51" ht="15.75" customHeight="1">
      <c r="B51" s="37"/>
      <c r="C51" s="37"/>
      <c r="D51" s="37"/>
    </row>
    <row r="52" ht="15.75" customHeight="1">
      <c r="B52" s="37"/>
      <c r="C52" s="37"/>
      <c r="D52" s="37"/>
    </row>
    <row r="53" ht="15.75" customHeight="1">
      <c r="B53" s="37"/>
      <c r="C53" s="37"/>
      <c r="D53" s="37"/>
    </row>
    <row r="54" ht="15.75" customHeight="1">
      <c r="B54" s="37"/>
      <c r="C54" s="37"/>
      <c r="D54" s="37"/>
    </row>
    <row r="55" ht="15.75" customHeight="1">
      <c r="B55" s="37"/>
      <c r="C55" s="37"/>
      <c r="D55" s="37"/>
    </row>
    <row r="56" ht="15.75" customHeight="1">
      <c r="B56" s="37"/>
      <c r="C56" s="37"/>
      <c r="D56" s="37"/>
    </row>
    <row r="57" ht="15.75" customHeight="1">
      <c r="B57" s="37"/>
      <c r="C57" s="37"/>
      <c r="D57" s="37"/>
    </row>
    <row r="58" ht="15.75" customHeight="1">
      <c r="B58" s="37"/>
      <c r="C58" s="37"/>
      <c r="D58" s="37"/>
    </row>
    <row r="59" ht="15.75" customHeight="1">
      <c r="B59" s="37"/>
      <c r="C59" s="37"/>
      <c r="D59" s="37"/>
    </row>
    <row r="60" ht="15.75" customHeight="1">
      <c r="B60" s="37"/>
      <c r="C60" s="37"/>
      <c r="D60" s="37"/>
    </row>
    <row r="61" ht="15.75" customHeight="1">
      <c r="B61" s="37"/>
      <c r="C61" s="37"/>
      <c r="D61" s="37"/>
    </row>
    <row r="62" ht="15.75" customHeight="1">
      <c r="B62" s="37"/>
      <c r="C62" s="37"/>
      <c r="D62" s="37"/>
    </row>
    <row r="63" ht="15.75" customHeight="1">
      <c r="B63" s="37"/>
      <c r="C63" s="37"/>
      <c r="D63" s="37"/>
    </row>
    <row r="64" ht="15.75" customHeight="1">
      <c r="B64" s="37"/>
      <c r="C64" s="37"/>
      <c r="D64" s="37"/>
    </row>
    <row r="65" ht="15.75" customHeight="1">
      <c r="B65" s="37"/>
      <c r="C65" s="37"/>
      <c r="D65" s="37"/>
    </row>
    <row r="66" ht="15.75" customHeight="1">
      <c r="B66" s="37"/>
      <c r="C66" s="37"/>
      <c r="D66" s="37"/>
    </row>
    <row r="67" ht="15.75" customHeight="1">
      <c r="B67" s="37"/>
      <c r="C67" s="37"/>
      <c r="D67" s="37"/>
    </row>
    <row r="68" ht="15.75" customHeight="1">
      <c r="B68" s="37"/>
      <c r="C68" s="37"/>
      <c r="D68" s="37"/>
    </row>
    <row r="69" ht="15.75" customHeight="1">
      <c r="B69" s="37"/>
      <c r="C69" s="37"/>
      <c r="D69" s="37"/>
    </row>
    <row r="70" ht="15.75" customHeight="1">
      <c r="B70" s="37"/>
      <c r="C70" s="37"/>
      <c r="D70" s="37"/>
    </row>
    <row r="71" ht="15.75" customHeight="1">
      <c r="B71" s="37"/>
      <c r="C71" s="37"/>
      <c r="D71" s="37"/>
    </row>
    <row r="72" ht="15.75" customHeight="1">
      <c r="B72" s="37"/>
      <c r="C72" s="37"/>
      <c r="D72" s="37"/>
    </row>
    <row r="73" ht="15.75" customHeight="1">
      <c r="B73" s="37"/>
      <c r="C73" s="37"/>
      <c r="D73" s="37"/>
    </row>
    <row r="74" ht="15.75" customHeight="1">
      <c r="B74" s="37"/>
      <c r="C74" s="37"/>
      <c r="D74" s="37"/>
    </row>
    <row r="75" ht="15.75" customHeight="1">
      <c r="B75" s="37"/>
      <c r="C75" s="37"/>
      <c r="D75" s="37"/>
    </row>
    <row r="76" ht="15.75" customHeight="1">
      <c r="B76" s="37"/>
      <c r="C76" s="37"/>
      <c r="D76" s="37"/>
    </row>
    <row r="77" ht="15.75" customHeight="1">
      <c r="B77" s="37"/>
      <c r="C77" s="37"/>
      <c r="D77" s="37"/>
    </row>
    <row r="78" ht="15.75" customHeight="1">
      <c r="B78" s="37"/>
      <c r="C78" s="37"/>
      <c r="D78" s="37"/>
    </row>
    <row r="79" ht="15.75" customHeight="1">
      <c r="B79" s="37"/>
      <c r="C79" s="37"/>
      <c r="D79" s="37"/>
    </row>
    <row r="80" ht="15.75" customHeight="1">
      <c r="B80" s="37"/>
      <c r="C80" s="37"/>
      <c r="D80" s="37"/>
    </row>
    <row r="81" ht="15.75" customHeight="1">
      <c r="B81" s="37"/>
      <c r="C81" s="37"/>
      <c r="D81" s="37"/>
    </row>
    <row r="82" ht="15.75" customHeight="1">
      <c r="B82" s="37"/>
      <c r="C82" s="37"/>
      <c r="D82" s="37"/>
    </row>
    <row r="83" ht="15.75" customHeight="1">
      <c r="B83" s="37"/>
      <c r="C83" s="37"/>
      <c r="D83" s="37"/>
    </row>
    <row r="84" ht="15.75" customHeight="1">
      <c r="B84" s="37"/>
      <c r="C84" s="37"/>
      <c r="D84" s="37"/>
    </row>
    <row r="85" ht="15.75" customHeight="1">
      <c r="B85" s="37"/>
      <c r="C85" s="37"/>
      <c r="D85" s="37"/>
    </row>
    <row r="86" ht="15.75" customHeight="1">
      <c r="B86" s="37"/>
      <c r="C86" s="37"/>
      <c r="D86" s="37"/>
    </row>
    <row r="87" ht="15.75" customHeight="1">
      <c r="B87" s="37"/>
      <c r="C87" s="37"/>
      <c r="D87" s="37"/>
    </row>
    <row r="88" ht="15.75" customHeight="1">
      <c r="B88" s="37"/>
      <c r="C88" s="37"/>
      <c r="D88" s="37"/>
    </row>
    <row r="89" ht="15.75" customHeight="1">
      <c r="B89" s="37"/>
      <c r="C89" s="37"/>
      <c r="D89" s="37"/>
    </row>
    <row r="90" ht="15.75" customHeight="1">
      <c r="B90" s="37"/>
      <c r="C90" s="37"/>
      <c r="D90" s="37"/>
    </row>
    <row r="91" ht="15.75" customHeight="1">
      <c r="B91" s="37"/>
      <c r="C91" s="37"/>
      <c r="D91" s="37"/>
    </row>
    <row r="92" ht="15.75" customHeight="1">
      <c r="B92" s="37"/>
      <c r="C92" s="37"/>
      <c r="D92" s="37"/>
    </row>
    <row r="93" ht="15.75" customHeight="1">
      <c r="B93" s="37"/>
      <c r="C93" s="37"/>
      <c r="D93" s="37"/>
    </row>
    <row r="94" ht="15.75" customHeight="1">
      <c r="B94" s="37"/>
      <c r="C94" s="37"/>
      <c r="D94" s="37"/>
    </row>
    <row r="95" ht="15.75" customHeight="1">
      <c r="B95" s="37"/>
      <c r="C95" s="37"/>
      <c r="D95" s="37"/>
    </row>
    <row r="96" ht="15.75" customHeight="1">
      <c r="B96" s="37"/>
      <c r="C96" s="37"/>
      <c r="D96" s="37"/>
    </row>
    <row r="97" ht="15.75" customHeight="1">
      <c r="B97" s="37"/>
      <c r="C97" s="37"/>
      <c r="D97" s="37"/>
    </row>
    <row r="98" ht="15.75" customHeight="1">
      <c r="B98" s="37"/>
      <c r="C98" s="37"/>
      <c r="D98" s="37"/>
    </row>
    <row r="99" ht="15.75" customHeight="1">
      <c r="B99" s="37"/>
      <c r="C99" s="37"/>
      <c r="D99" s="37"/>
    </row>
    <row r="100" ht="15.75" customHeight="1">
      <c r="B100" s="37"/>
      <c r="C100" s="37"/>
      <c r="D100" s="37"/>
    </row>
    <row r="101" ht="15.75" customHeight="1">
      <c r="B101" s="37"/>
      <c r="C101" s="37"/>
      <c r="D101" s="37"/>
    </row>
    <row r="102" ht="15.75" customHeight="1">
      <c r="B102" s="37"/>
      <c r="C102" s="37"/>
      <c r="D102" s="37"/>
    </row>
    <row r="103" ht="15.75" customHeight="1">
      <c r="B103" s="37"/>
      <c r="C103" s="37"/>
      <c r="D103" s="37"/>
    </row>
    <row r="104" ht="15.75" customHeight="1">
      <c r="B104" s="37"/>
      <c r="C104" s="37"/>
      <c r="D104" s="37"/>
    </row>
    <row r="105" ht="15.75" customHeight="1">
      <c r="B105" s="37"/>
      <c r="C105" s="37"/>
      <c r="D105" s="37"/>
    </row>
    <row r="106" ht="15.75" customHeight="1">
      <c r="B106" s="37"/>
      <c r="C106" s="37"/>
      <c r="D106" s="37"/>
    </row>
    <row r="107" ht="15.75" customHeight="1">
      <c r="B107" s="37"/>
      <c r="C107" s="37"/>
      <c r="D107" s="37"/>
    </row>
    <row r="108" ht="15.75" customHeight="1">
      <c r="B108" s="37"/>
      <c r="C108" s="37"/>
      <c r="D108" s="37"/>
    </row>
    <row r="109" ht="15.75" customHeight="1">
      <c r="B109" s="37"/>
      <c r="C109" s="37"/>
      <c r="D109" s="37"/>
    </row>
    <row r="110" ht="15.75" customHeight="1">
      <c r="B110" s="37"/>
      <c r="C110" s="37"/>
      <c r="D110" s="37"/>
    </row>
    <row r="111" ht="15.75" customHeight="1">
      <c r="B111" s="37"/>
      <c r="C111" s="37"/>
      <c r="D111" s="37"/>
    </row>
    <row r="112" ht="15.75" customHeight="1">
      <c r="B112" s="37"/>
      <c r="C112" s="37"/>
      <c r="D112" s="37"/>
    </row>
    <row r="113" ht="15.75" customHeight="1">
      <c r="B113" s="37"/>
      <c r="C113" s="37"/>
      <c r="D113" s="37"/>
    </row>
    <row r="114" ht="15.75" customHeight="1">
      <c r="B114" s="37"/>
      <c r="C114" s="37"/>
      <c r="D114" s="37"/>
    </row>
    <row r="115" ht="15.75" customHeight="1">
      <c r="B115" s="37"/>
      <c r="C115" s="37"/>
      <c r="D115" s="37"/>
    </row>
    <row r="116" ht="15.75" customHeight="1">
      <c r="B116" s="37"/>
      <c r="C116" s="37"/>
      <c r="D116" s="37"/>
    </row>
    <row r="117" ht="15.75" customHeight="1">
      <c r="B117" s="37"/>
      <c r="C117" s="37"/>
      <c r="D117" s="37"/>
    </row>
    <row r="118" ht="15.75" customHeight="1">
      <c r="B118" s="37"/>
      <c r="C118" s="37"/>
      <c r="D118" s="37"/>
    </row>
    <row r="119" ht="15.75" customHeight="1">
      <c r="B119" s="37"/>
      <c r="C119" s="37"/>
      <c r="D119" s="37"/>
    </row>
    <row r="120" ht="15.75" customHeight="1">
      <c r="B120" s="37"/>
      <c r="C120" s="37"/>
      <c r="D120" s="37"/>
    </row>
    <row r="121" ht="15.75" customHeight="1">
      <c r="B121" s="37"/>
      <c r="C121" s="37"/>
      <c r="D121" s="37"/>
    </row>
    <row r="122" ht="15.75" customHeight="1">
      <c r="B122" s="37"/>
      <c r="C122" s="37"/>
      <c r="D122" s="37"/>
    </row>
    <row r="123" ht="15.75" customHeight="1">
      <c r="B123" s="37"/>
      <c r="C123" s="37"/>
      <c r="D123" s="37"/>
    </row>
    <row r="124" ht="15.75" customHeight="1">
      <c r="B124" s="37"/>
      <c r="C124" s="37"/>
      <c r="D124" s="37"/>
    </row>
    <row r="125" ht="15.75" customHeight="1">
      <c r="B125" s="37"/>
      <c r="C125" s="37"/>
      <c r="D125" s="37"/>
    </row>
    <row r="126" ht="15.75" customHeight="1">
      <c r="B126" s="37"/>
      <c r="C126" s="37"/>
      <c r="D126" s="37"/>
    </row>
    <row r="127" ht="15.75" customHeight="1">
      <c r="B127" s="37"/>
      <c r="C127" s="37"/>
      <c r="D127" s="37"/>
    </row>
    <row r="128" ht="15.75" customHeight="1">
      <c r="B128" s="37"/>
      <c r="C128" s="37"/>
      <c r="D128" s="37"/>
    </row>
    <row r="129" ht="15.75" customHeight="1">
      <c r="B129" s="37"/>
      <c r="C129" s="37"/>
      <c r="D129" s="37"/>
    </row>
    <row r="130" ht="15.75" customHeight="1">
      <c r="B130" s="37"/>
      <c r="C130" s="37"/>
      <c r="D130" s="37"/>
    </row>
    <row r="131" ht="15.75" customHeight="1">
      <c r="B131" s="37"/>
      <c r="C131" s="37"/>
      <c r="D131" s="37"/>
    </row>
    <row r="132" ht="15.75" customHeight="1">
      <c r="B132" s="37"/>
      <c r="C132" s="37"/>
      <c r="D132" s="37"/>
    </row>
    <row r="133" ht="15.75" customHeight="1">
      <c r="B133" s="37"/>
      <c r="C133" s="37"/>
      <c r="D133" s="37"/>
    </row>
    <row r="134" ht="15.75" customHeight="1">
      <c r="B134" s="37"/>
      <c r="C134" s="37"/>
      <c r="D134" s="37"/>
    </row>
    <row r="135" ht="15.75" customHeight="1">
      <c r="B135" s="37"/>
      <c r="C135" s="37"/>
      <c r="D135" s="37"/>
    </row>
    <row r="136" ht="15.75" customHeight="1">
      <c r="B136" s="37"/>
      <c r="C136" s="37"/>
      <c r="D136" s="37"/>
    </row>
    <row r="137" ht="15.75" customHeight="1">
      <c r="B137" s="37"/>
      <c r="C137" s="37"/>
      <c r="D137" s="37"/>
    </row>
    <row r="138" ht="15.75" customHeight="1">
      <c r="B138" s="37"/>
      <c r="C138" s="37"/>
      <c r="D138" s="37"/>
    </row>
    <row r="139" ht="15.75" customHeight="1">
      <c r="B139" s="37"/>
      <c r="C139" s="37"/>
      <c r="D139" s="37"/>
    </row>
    <row r="140" ht="15.75" customHeight="1">
      <c r="B140" s="37"/>
      <c r="C140" s="37"/>
      <c r="D140" s="37"/>
    </row>
    <row r="141" ht="15.75" customHeight="1">
      <c r="B141" s="37"/>
      <c r="C141" s="37"/>
      <c r="D141" s="37"/>
    </row>
    <row r="142" ht="15.75" customHeight="1">
      <c r="B142" s="37"/>
      <c r="C142" s="37"/>
      <c r="D142" s="37"/>
    </row>
    <row r="143" ht="15.75" customHeight="1">
      <c r="B143" s="37"/>
      <c r="C143" s="37"/>
      <c r="D143" s="37"/>
    </row>
    <row r="144" ht="15.75" customHeight="1">
      <c r="B144" s="37"/>
      <c r="C144" s="37"/>
      <c r="D144" s="37"/>
    </row>
    <row r="145" ht="15.75" customHeight="1">
      <c r="B145" s="37"/>
      <c r="C145" s="37"/>
      <c r="D145" s="37"/>
    </row>
    <row r="146" ht="15.75" customHeight="1">
      <c r="B146" s="37"/>
      <c r="C146" s="37"/>
      <c r="D146" s="37"/>
    </row>
    <row r="147" ht="15.75" customHeight="1">
      <c r="B147" s="37"/>
      <c r="C147" s="37"/>
      <c r="D147" s="37"/>
    </row>
    <row r="148" ht="15.75" customHeight="1">
      <c r="B148" s="37"/>
      <c r="C148" s="37"/>
      <c r="D148" s="37"/>
    </row>
    <row r="149" ht="15.75" customHeight="1">
      <c r="B149" s="37"/>
      <c r="C149" s="37"/>
      <c r="D149" s="37"/>
    </row>
    <row r="150" ht="15.75" customHeight="1">
      <c r="B150" s="37"/>
      <c r="C150" s="37"/>
      <c r="D150" s="37"/>
    </row>
    <row r="151" ht="15.75" customHeight="1">
      <c r="B151" s="37"/>
      <c r="C151" s="37"/>
      <c r="D151" s="37"/>
    </row>
    <row r="152" ht="15.75" customHeight="1">
      <c r="B152" s="37"/>
      <c r="C152" s="37"/>
      <c r="D152" s="37"/>
    </row>
    <row r="153" ht="15.75" customHeight="1">
      <c r="B153" s="37"/>
      <c r="C153" s="37"/>
      <c r="D153" s="37"/>
    </row>
    <row r="154" ht="15.75" customHeight="1">
      <c r="B154" s="37"/>
      <c r="C154" s="37"/>
      <c r="D154" s="37"/>
    </row>
    <row r="155" ht="15.75" customHeight="1">
      <c r="B155" s="37"/>
      <c r="C155" s="37"/>
      <c r="D155" s="37"/>
    </row>
    <row r="156" ht="15.75" customHeight="1">
      <c r="B156" s="37"/>
      <c r="C156" s="37"/>
      <c r="D156" s="37"/>
    </row>
    <row r="157" ht="15.75" customHeight="1">
      <c r="B157" s="37"/>
      <c r="C157" s="37"/>
      <c r="D157" s="37"/>
    </row>
    <row r="158" ht="15.75" customHeight="1">
      <c r="B158" s="37"/>
      <c r="C158" s="37"/>
      <c r="D158" s="37"/>
    </row>
    <row r="159" ht="15.75" customHeight="1">
      <c r="B159" s="37"/>
      <c r="C159" s="37"/>
      <c r="D159" s="37"/>
    </row>
    <row r="160" ht="15.75" customHeight="1">
      <c r="B160" s="37"/>
      <c r="C160" s="37"/>
      <c r="D160" s="37"/>
    </row>
    <row r="161" ht="15.75" customHeight="1">
      <c r="B161" s="37"/>
      <c r="C161" s="37"/>
      <c r="D161" s="37"/>
    </row>
    <row r="162" ht="15.75" customHeight="1">
      <c r="B162" s="37"/>
      <c r="C162" s="37"/>
      <c r="D162" s="37"/>
    </row>
    <row r="163" ht="15.75" customHeight="1">
      <c r="B163" s="37"/>
      <c r="C163" s="37"/>
      <c r="D163" s="37"/>
    </row>
    <row r="164" ht="15.75" customHeight="1">
      <c r="B164" s="37"/>
      <c r="C164" s="37"/>
      <c r="D164" s="37"/>
    </row>
    <row r="165" ht="15.75" customHeight="1">
      <c r="B165" s="37"/>
      <c r="C165" s="37"/>
      <c r="D165" s="37"/>
    </row>
    <row r="166" ht="15.75" customHeight="1">
      <c r="B166" s="37"/>
      <c r="C166" s="37"/>
      <c r="D166" s="37"/>
    </row>
    <row r="167" ht="15.75" customHeight="1">
      <c r="B167" s="37"/>
      <c r="C167" s="37"/>
      <c r="D167" s="37"/>
    </row>
    <row r="168" ht="15.75" customHeight="1">
      <c r="B168" s="37"/>
      <c r="C168" s="37"/>
      <c r="D168" s="37"/>
    </row>
    <row r="169" ht="15.75" customHeight="1">
      <c r="B169" s="37"/>
      <c r="C169" s="37"/>
      <c r="D169" s="37"/>
    </row>
    <row r="170" ht="15.75" customHeight="1">
      <c r="B170" s="37"/>
      <c r="C170" s="37"/>
      <c r="D170" s="37"/>
    </row>
    <row r="171" ht="15.75" customHeight="1">
      <c r="B171" s="37"/>
      <c r="C171" s="37"/>
      <c r="D171" s="37"/>
    </row>
    <row r="172" ht="15.75" customHeight="1">
      <c r="B172" s="37"/>
      <c r="C172" s="37"/>
      <c r="D172" s="37"/>
    </row>
    <row r="173" ht="15.75" customHeight="1">
      <c r="B173" s="37"/>
      <c r="C173" s="37"/>
      <c r="D173" s="37"/>
    </row>
    <row r="174" ht="15.75" customHeight="1">
      <c r="B174" s="37"/>
      <c r="C174" s="37"/>
      <c r="D174" s="37"/>
    </row>
    <row r="175" ht="15.75" customHeight="1">
      <c r="B175" s="37"/>
      <c r="C175" s="37"/>
      <c r="D175" s="37"/>
    </row>
    <row r="176" ht="15.75" customHeight="1">
      <c r="B176" s="37"/>
      <c r="C176" s="37"/>
      <c r="D176" s="37"/>
    </row>
    <row r="177" ht="15.75" customHeight="1">
      <c r="B177" s="37"/>
      <c r="C177" s="37"/>
      <c r="D177" s="37"/>
    </row>
    <row r="178" ht="15.75" customHeight="1">
      <c r="B178" s="37"/>
      <c r="C178" s="37"/>
      <c r="D178" s="37"/>
    </row>
    <row r="179" ht="15.75" customHeight="1">
      <c r="B179" s="37"/>
      <c r="C179" s="37"/>
      <c r="D179" s="37"/>
    </row>
    <row r="180" ht="15.75" customHeight="1">
      <c r="B180" s="37"/>
      <c r="C180" s="37"/>
      <c r="D180" s="37"/>
    </row>
    <row r="181" ht="15.75" customHeight="1">
      <c r="B181" s="37"/>
      <c r="C181" s="37"/>
      <c r="D181" s="37"/>
    </row>
    <row r="182" ht="15.75" customHeight="1">
      <c r="B182" s="37"/>
      <c r="C182" s="37"/>
      <c r="D182" s="37"/>
    </row>
    <row r="183" ht="15.75" customHeight="1">
      <c r="B183" s="37"/>
      <c r="C183" s="37"/>
      <c r="D183" s="37"/>
    </row>
    <row r="184" ht="15.75" customHeight="1">
      <c r="B184" s="37"/>
      <c r="C184" s="37"/>
      <c r="D184" s="37"/>
    </row>
    <row r="185" ht="15.75" customHeight="1">
      <c r="B185" s="37"/>
      <c r="C185" s="37"/>
      <c r="D185" s="37"/>
    </row>
    <row r="186" ht="15.75" customHeight="1">
      <c r="B186" s="37"/>
      <c r="C186" s="37"/>
      <c r="D186" s="37"/>
    </row>
    <row r="187" ht="15.75" customHeight="1">
      <c r="B187" s="37"/>
      <c r="C187" s="37"/>
      <c r="D187" s="37"/>
    </row>
    <row r="188" ht="15.75" customHeight="1">
      <c r="B188" s="37"/>
      <c r="C188" s="37"/>
      <c r="D188" s="37"/>
    </row>
    <row r="189" ht="15.75" customHeight="1">
      <c r="B189" s="37"/>
      <c r="C189" s="37"/>
      <c r="D189" s="37"/>
    </row>
    <row r="190" ht="15.75" customHeight="1">
      <c r="B190" s="37"/>
      <c r="C190" s="37"/>
      <c r="D190" s="37"/>
    </row>
    <row r="191" ht="15.75" customHeight="1">
      <c r="B191" s="37"/>
      <c r="C191" s="37"/>
      <c r="D191" s="37"/>
    </row>
    <row r="192" ht="15.75" customHeight="1">
      <c r="B192" s="37"/>
      <c r="C192" s="37"/>
      <c r="D192" s="37"/>
    </row>
    <row r="193" ht="15.75" customHeight="1">
      <c r="B193" s="37"/>
      <c r="C193" s="37"/>
      <c r="D193" s="37"/>
    </row>
    <row r="194" ht="15.75" customHeight="1">
      <c r="B194" s="37"/>
      <c r="C194" s="37"/>
      <c r="D194" s="37"/>
    </row>
    <row r="195" ht="15.75" customHeight="1">
      <c r="B195" s="37"/>
      <c r="C195" s="37"/>
      <c r="D195" s="37"/>
    </row>
    <row r="196" ht="15.75" customHeight="1">
      <c r="B196" s="37"/>
      <c r="C196" s="37"/>
      <c r="D196" s="37"/>
    </row>
    <row r="197" ht="15.75" customHeight="1">
      <c r="B197" s="37"/>
      <c r="C197" s="37"/>
      <c r="D197" s="37"/>
    </row>
    <row r="198" ht="15.75" customHeight="1">
      <c r="B198" s="37"/>
      <c r="C198" s="37"/>
      <c r="D198" s="37"/>
    </row>
    <row r="199" ht="15.75" customHeight="1">
      <c r="B199" s="37"/>
      <c r="C199" s="37"/>
      <c r="D199" s="37"/>
    </row>
    <row r="200" ht="15.75" customHeight="1">
      <c r="B200" s="37"/>
      <c r="C200" s="37"/>
      <c r="D200" s="37"/>
    </row>
    <row r="201" ht="15.75" customHeight="1">
      <c r="B201" s="37"/>
      <c r="C201" s="37"/>
      <c r="D201" s="37"/>
    </row>
    <row r="202" ht="15.75" customHeight="1">
      <c r="B202" s="37"/>
      <c r="C202" s="37"/>
      <c r="D202" s="37"/>
    </row>
    <row r="203" ht="15.75" customHeight="1">
      <c r="B203" s="37"/>
      <c r="C203" s="37"/>
      <c r="D203" s="37"/>
    </row>
    <row r="204" ht="15.75" customHeight="1">
      <c r="B204" s="37"/>
      <c r="C204" s="37"/>
      <c r="D204" s="37"/>
    </row>
    <row r="205" ht="15.75" customHeight="1">
      <c r="B205" s="37"/>
      <c r="C205" s="37"/>
      <c r="D205" s="37"/>
    </row>
    <row r="206" ht="15.75" customHeight="1">
      <c r="B206" s="37"/>
      <c r="C206" s="37"/>
      <c r="D206" s="37"/>
    </row>
    <row r="207" ht="15.75" customHeight="1">
      <c r="B207" s="37"/>
      <c r="C207" s="37"/>
      <c r="D207" s="37"/>
    </row>
    <row r="208" ht="15.75" customHeight="1">
      <c r="B208" s="37"/>
      <c r="C208" s="37"/>
      <c r="D208" s="37"/>
    </row>
    <row r="209" ht="15.75" customHeight="1">
      <c r="B209" s="37"/>
      <c r="C209" s="37"/>
      <c r="D209" s="37"/>
    </row>
    <row r="210" ht="15.75" customHeight="1">
      <c r="B210" s="37"/>
      <c r="C210" s="37"/>
      <c r="D210" s="37"/>
    </row>
    <row r="211" ht="15.75" customHeight="1">
      <c r="B211" s="37"/>
      <c r="C211" s="37"/>
      <c r="D211" s="37"/>
    </row>
    <row r="212" ht="15.75" customHeight="1">
      <c r="B212" s="37"/>
      <c r="C212" s="37"/>
      <c r="D212" s="37"/>
    </row>
    <row r="213" ht="15.75" customHeight="1">
      <c r="B213" s="37"/>
      <c r="C213" s="37"/>
      <c r="D213" s="37"/>
    </row>
    <row r="214" ht="15.75" customHeight="1">
      <c r="B214" s="37"/>
      <c r="C214" s="37"/>
      <c r="D214" s="37"/>
    </row>
    <row r="215" ht="15.75" customHeight="1">
      <c r="B215" s="37"/>
      <c r="C215" s="37"/>
      <c r="D215" s="37"/>
    </row>
    <row r="216" ht="15.75" customHeight="1">
      <c r="B216" s="37"/>
      <c r="C216" s="37"/>
      <c r="D216" s="37"/>
    </row>
    <row r="217" ht="15.75" customHeight="1">
      <c r="B217" s="37"/>
      <c r="C217" s="37"/>
      <c r="D217" s="37"/>
    </row>
    <row r="218" ht="15.75" customHeight="1">
      <c r="B218" s="37"/>
      <c r="C218" s="37"/>
      <c r="D218" s="37"/>
    </row>
    <row r="219" ht="15.75" customHeight="1">
      <c r="B219" s="37"/>
      <c r="C219" s="37"/>
      <c r="D219" s="37"/>
    </row>
    <row r="220" ht="15.75" customHeight="1">
      <c r="B220" s="37"/>
      <c r="C220" s="37"/>
      <c r="D220" s="37"/>
    </row>
    <row r="221" ht="15.75" customHeight="1">
      <c r="B221" s="37"/>
      <c r="C221" s="37"/>
      <c r="D221" s="37"/>
    </row>
    <row r="222" ht="15.75" customHeight="1">
      <c r="B222" s="37"/>
      <c r="C222" s="37"/>
      <c r="D222" s="37"/>
    </row>
    <row r="223" ht="15.75" customHeight="1">
      <c r="B223" s="37"/>
      <c r="C223" s="37"/>
      <c r="D223" s="37"/>
    </row>
    <row r="224" ht="15.75" customHeight="1">
      <c r="B224" s="37"/>
      <c r="C224" s="37"/>
      <c r="D224" s="37"/>
    </row>
    <row r="225" ht="15.75" customHeight="1">
      <c r="B225" s="37"/>
      <c r="C225" s="37"/>
      <c r="D225" s="37"/>
    </row>
    <row r="226" ht="15.75" customHeight="1">
      <c r="B226" s="37"/>
      <c r="C226" s="37"/>
      <c r="D226" s="37"/>
    </row>
    <row r="227" ht="15.75" customHeight="1">
      <c r="B227" s="37"/>
      <c r="C227" s="37"/>
      <c r="D227" s="3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0.38"/>
    <col customWidth="1" min="2" max="2" width="6.38"/>
    <col customWidth="1" min="3" max="3" width="6.13"/>
    <col customWidth="1" min="4" max="4" width="6.25"/>
    <col customWidth="1" min="5" max="5" width="6.5"/>
    <col customWidth="1" min="6" max="6" width="6.75"/>
    <col customWidth="1" min="7" max="7" width="6.88"/>
    <col customWidth="1" min="8" max="8" width="8.25"/>
    <col customWidth="1" min="9" max="9" width="8.5"/>
    <col customWidth="1" min="10" max="10" width="5.63"/>
    <col customWidth="1" min="11" max="12" width="6.0"/>
    <col customWidth="1" min="13" max="13" width="6.13"/>
    <col customWidth="1" min="14" max="14" width="6.25"/>
    <col customWidth="1" min="15" max="16" width="6.5"/>
    <col customWidth="1" min="17" max="17" width="5.5"/>
    <col customWidth="1" min="18" max="18" width="6.38"/>
    <col customWidth="1" min="19" max="20" width="6.88"/>
    <col customWidth="1" min="21" max="21" width="8.88"/>
    <col customWidth="1" min="22" max="23" width="6.88"/>
    <col customWidth="1" min="24" max="26" width="7.5"/>
    <col customWidth="1" min="27" max="28" width="8.13"/>
    <col customWidth="1" min="29" max="29" width="7.88"/>
    <col customWidth="1" min="30" max="30" width="19.75"/>
  </cols>
  <sheetData>
    <row r="1" ht="15.75" customHeight="1">
      <c r="A1" s="39" t="s">
        <v>41</v>
      </c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2"/>
      <c r="AU1" s="42"/>
      <c r="AV1" s="42"/>
      <c r="AW1" s="42"/>
      <c r="AX1" s="42"/>
      <c r="AY1" s="42"/>
      <c r="AZ1" s="42"/>
    </row>
    <row r="2" ht="15.75" customHeight="1">
      <c r="A2" s="43" t="s">
        <v>0</v>
      </c>
      <c r="B2" s="3">
        <v>2024.0</v>
      </c>
      <c r="C2" s="4">
        <v>45679.0</v>
      </c>
      <c r="D2" s="4">
        <v>45686.0</v>
      </c>
      <c r="E2" s="4">
        <v>45693.0</v>
      </c>
      <c r="F2" s="5">
        <v>45728.0</v>
      </c>
      <c r="G2" s="5">
        <v>45735.0</v>
      </c>
      <c r="H2" s="5">
        <v>45749.0</v>
      </c>
      <c r="I2" s="6">
        <v>45756.0</v>
      </c>
      <c r="J2" s="6">
        <v>45763.0</v>
      </c>
      <c r="K2" s="6">
        <v>45770.0</v>
      </c>
      <c r="L2" s="6">
        <v>45777.0</v>
      </c>
      <c r="M2" s="7">
        <v>45784.0</v>
      </c>
      <c r="N2" s="7">
        <v>45791.0</v>
      </c>
      <c r="O2" s="7">
        <v>45798.0</v>
      </c>
      <c r="P2" s="7">
        <v>45805.0</v>
      </c>
      <c r="Q2" s="8">
        <v>45812.0</v>
      </c>
      <c r="R2" s="44">
        <v>45819.0</v>
      </c>
      <c r="S2" s="7">
        <v>45826.0</v>
      </c>
      <c r="T2" s="7">
        <v>45849.0</v>
      </c>
      <c r="U2" s="7">
        <v>45861.0</v>
      </c>
      <c r="V2" s="7">
        <v>45868.0</v>
      </c>
      <c r="W2" s="7">
        <v>45875.0</v>
      </c>
      <c r="X2" s="7">
        <v>45882.0</v>
      </c>
      <c r="Y2" s="7">
        <v>45889.0</v>
      </c>
      <c r="Z2" s="7">
        <v>45896.0</v>
      </c>
      <c r="AA2" s="7">
        <v>45903.0</v>
      </c>
      <c r="AB2" s="7">
        <v>45910.0</v>
      </c>
      <c r="AC2" s="7">
        <v>45917.0</v>
      </c>
      <c r="AD2" s="9" t="s">
        <v>2</v>
      </c>
      <c r="AE2" s="9" t="s">
        <v>3</v>
      </c>
      <c r="AF2" s="9" t="s">
        <v>4</v>
      </c>
      <c r="AG2" s="10"/>
      <c r="AH2" s="11"/>
      <c r="AI2" s="11"/>
      <c r="AJ2" s="12"/>
      <c r="AK2" s="11"/>
      <c r="AL2" s="11"/>
      <c r="AM2" s="11"/>
      <c r="AN2" s="11"/>
      <c r="AO2" s="12"/>
      <c r="AP2" s="12"/>
      <c r="AQ2" s="11"/>
      <c r="AR2" s="11"/>
      <c r="AS2" s="12"/>
      <c r="AT2" s="11"/>
      <c r="AU2" s="11"/>
      <c r="AV2" s="11"/>
      <c r="AW2" s="45"/>
      <c r="AX2" s="45"/>
      <c r="AY2" s="45"/>
      <c r="AZ2" s="45"/>
    </row>
    <row r="3" ht="15.75" customHeight="1">
      <c r="A3" s="46" t="s">
        <v>42</v>
      </c>
      <c r="B3" s="47"/>
      <c r="C3" s="15">
        <v>68.7</v>
      </c>
      <c r="D3" s="15">
        <v>68.1</v>
      </c>
      <c r="E3" s="15">
        <v>71.0</v>
      </c>
      <c r="F3" s="15">
        <v>71.2</v>
      </c>
      <c r="G3" s="15">
        <v>73.2</v>
      </c>
      <c r="H3" s="15">
        <v>72.6</v>
      </c>
      <c r="I3" s="15">
        <v>73.0</v>
      </c>
      <c r="J3" s="13">
        <v>73.4</v>
      </c>
      <c r="K3" s="13">
        <v>74.1</v>
      </c>
      <c r="L3" s="13">
        <v>73.4</v>
      </c>
      <c r="M3" s="13">
        <v>74.4</v>
      </c>
      <c r="N3" s="13">
        <v>73.7</v>
      </c>
      <c r="O3" s="48">
        <v>74.7</v>
      </c>
      <c r="P3" s="48">
        <v>73.2</v>
      </c>
      <c r="Q3" s="24">
        <v>73.9</v>
      </c>
      <c r="R3" s="49">
        <v>74.2</v>
      </c>
      <c r="S3" s="48">
        <v>74.5</v>
      </c>
      <c r="T3" s="48"/>
      <c r="U3" s="18">
        <v>73.8</v>
      </c>
      <c r="V3" s="15">
        <v>75.3</v>
      </c>
      <c r="W3" s="15">
        <v>73.6</v>
      </c>
      <c r="X3" s="15">
        <v>74.7</v>
      </c>
      <c r="Y3" s="15">
        <v>74.3</v>
      </c>
      <c r="Z3" s="15">
        <v>75.5</v>
      </c>
      <c r="AA3" s="50">
        <v>75.0</v>
      </c>
      <c r="AB3" s="50">
        <v>75.4</v>
      </c>
      <c r="AC3" s="18">
        <v>75.5</v>
      </c>
      <c r="AD3" s="51" t="s">
        <v>14</v>
      </c>
      <c r="AE3" s="21">
        <f t="shared" ref="AE3:AE36" si="1">AC3-AB3</f>
        <v>0.1</v>
      </c>
      <c r="AF3" s="21">
        <f>AA3-C3</f>
        <v>6.3</v>
      </c>
    </row>
    <row r="4" ht="15.75" customHeight="1">
      <c r="A4" s="13" t="s">
        <v>43</v>
      </c>
      <c r="B4" s="47">
        <v>68.1</v>
      </c>
      <c r="C4" s="15"/>
      <c r="D4" s="15"/>
      <c r="E4" s="15"/>
      <c r="F4" s="15">
        <v>68.2</v>
      </c>
      <c r="G4" s="15"/>
      <c r="H4" s="15"/>
      <c r="I4" s="15"/>
      <c r="J4" s="13"/>
      <c r="K4" s="13"/>
      <c r="L4" s="13"/>
      <c r="M4" s="13">
        <v>69.4</v>
      </c>
      <c r="N4" s="13"/>
      <c r="O4" s="24"/>
      <c r="P4" s="28"/>
      <c r="Q4" s="24"/>
      <c r="R4" s="15">
        <v>69.7</v>
      </c>
      <c r="S4" s="28">
        <v>69.7</v>
      </c>
      <c r="T4" s="28"/>
      <c r="U4" s="18">
        <v>69.2</v>
      </c>
      <c r="V4" s="15">
        <v>69.4</v>
      </c>
      <c r="W4" s="15">
        <v>70.1</v>
      </c>
      <c r="X4" s="15">
        <v>69.8</v>
      </c>
      <c r="Y4" s="15">
        <v>70.4</v>
      </c>
      <c r="Z4" s="15">
        <v>71.0</v>
      </c>
      <c r="AA4" s="24">
        <v>70.6</v>
      </c>
      <c r="AB4" s="24">
        <v>70.6</v>
      </c>
      <c r="AC4" s="18">
        <v>70.8</v>
      </c>
      <c r="AD4" s="52" t="s">
        <v>44</v>
      </c>
      <c r="AE4" s="21">
        <f t="shared" si="1"/>
        <v>0.2</v>
      </c>
      <c r="AF4" s="21">
        <f t="shared" ref="AF4:AF6" si="2">AA4-B4</f>
        <v>2.5</v>
      </c>
    </row>
    <row r="5" ht="15.75" customHeight="1">
      <c r="A5" s="13" t="s">
        <v>45</v>
      </c>
      <c r="B5" s="47">
        <v>72.3</v>
      </c>
      <c r="C5" s="15">
        <v>71.6</v>
      </c>
      <c r="D5" s="15">
        <v>70.2</v>
      </c>
      <c r="E5" s="15">
        <v>69.8</v>
      </c>
      <c r="F5" s="15">
        <v>71.5</v>
      </c>
      <c r="G5" s="15">
        <v>71.5</v>
      </c>
      <c r="H5" s="15">
        <v>71.4</v>
      </c>
      <c r="I5" s="15">
        <v>72.9</v>
      </c>
      <c r="J5" s="13">
        <v>70.1</v>
      </c>
      <c r="K5" s="13">
        <v>71.6</v>
      </c>
      <c r="L5" s="13">
        <v>71.9</v>
      </c>
      <c r="M5" s="13">
        <v>71.6</v>
      </c>
      <c r="N5" s="13">
        <v>72.5</v>
      </c>
      <c r="O5" s="18">
        <v>70.9</v>
      </c>
      <c r="P5" s="18">
        <v>71.8</v>
      </c>
      <c r="Q5" s="24">
        <v>71.5</v>
      </c>
      <c r="R5" s="17">
        <v>72.9</v>
      </c>
      <c r="S5" s="18">
        <v>72.3</v>
      </c>
      <c r="T5" s="18"/>
      <c r="U5" s="18">
        <v>72.4</v>
      </c>
      <c r="V5" s="15">
        <v>73.3</v>
      </c>
      <c r="W5" s="15">
        <v>73.2</v>
      </c>
      <c r="X5" s="15">
        <v>73.0</v>
      </c>
      <c r="Y5" s="15">
        <v>71.7</v>
      </c>
      <c r="Z5" s="15">
        <v>71.7</v>
      </c>
      <c r="AA5" s="50"/>
      <c r="AB5" s="50"/>
      <c r="AC5" s="24">
        <v>73.9</v>
      </c>
      <c r="AD5" s="51" t="s">
        <v>14</v>
      </c>
      <c r="AE5" s="21">
        <f t="shared" si="1"/>
        <v>73.9</v>
      </c>
      <c r="AF5" s="21">
        <f t="shared" si="2"/>
        <v>-72.3</v>
      </c>
    </row>
    <row r="6" ht="15.75" customHeight="1">
      <c r="A6" s="13" t="s">
        <v>46</v>
      </c>
      <c r="B6" s="47">
        <v>70.9</v>
      </c>
      <c r="C6" s="15">
        <v>68.6</v>
      </c>
      <c r="D6" s="15">
        <v>69.6</v>
      </c>
      <c r="E6" s="15"/>
      <c r="F6" s="15"/>
      <c r="G6" s="15">
        <v>69.5</v>
      </c>
      <c r="H6" s="15">
        <v>69.0</v>
      </c>
      <c r="I6" s="15">
        <v>70.0</v>
      </c>
      <c r="J6" s="13">
        <v>69.6</v>
      </c>
      <c r="K6" s="13">
        <v>69.6</v>
      </c>
      <c r="L6" s="13">
        <v>69.3</v>
      </c>
      <c r="M6" s="13">
        <v>70.3</v>
      </c>
      <c r="N6" s="13">
        <v>70.5</v>
      </c>
      <c r="O6" s="18"/>
      <c r="P6" s="18">
        <v>71.9</v>
      </c>
      <c r="Q6" s="24">
        <v>70.4</v>
      </c>
      <c r="R6" s="17">
        <v>70.5</v>
      </c>
      <c r="S6" s="18">
        <v>70.9</v>
      </c>
      <c r="T6" s="18"/>
      <c r="U6" s="18">
        <v>70.9</v>
      </c>
      <c r="V6" s="15">
        <v>70.2</v>
      </c>
      <c r="W6" s="15">
        <v>70.3</v>
      </c>
      <c r="X6" s="15">
        <v>70.0</v>
      </c>
      <c r="Y6" s="15">
        <v>70.4</v>
      </c>
      <c r="Z6" s="15">
        <v>71.1</v>
      </c>
      <c r="AA6" s="50">
        <v>70.9</v>
      </c>
      <c r="AB6" s="50">
        <v>71.3</v>
      </c>
      <c r="AC6" s="18">
        <v>69.8</v>
      </c>
      <c r="AD6" s="51" t="s">
        <v>14</v>
      </c>
      <c r="AE6" s="21">
        <f t="shared" si="1"/>
        <v>-1.5</v>
      </c>
      <c r="AF6" s="21">
        <f t="shared" si="2"/>
        <v>0</v>
      </c>
    </row>
    <row r="7" ht="15.75" customHeight="1">
      <c r="A7" s="13" t="s">
        <v>47</v>
      </c>
      <c r="B7" s="47"/>
      <c r="C7" s="15"/>
      <c r="D7" s="15"/>
      <c r="E7" s="15"/>
      <c r="F7" s="24">
        <v>61.9</v>
      </c>
      <c r="G7" s="15"/>
      <c r="H7" s="15"/>
      <c r="I7" s="15">
        <v>62.3</v>
      </c>
      <c r="J7" s="13"/>
      <c r="K7" s="13"/>
      <c r="L7" s="13"/>
      <c r="M7" s="13"/>
      <c r="N7" s="13"/>
      <c r="O7" s="24"/>
      <c r="P7" s="18" t="s">
        <v>48</v>
      </c>
      <c r="Q7" s="24"/>
      <c r="R7" s="15">
        <v>62.4</v>
      </c>
      <c r="S7" s="28"/>
      <c r="T7" s="28"/>
      <c r="U7" s="18">
        <v>64.0</v>
      </c>
      <c r="V7" s="15"/>
      <c r="W7" s="15">
        <v>64.5</v>
      </c>
      <c r="X7" s="15"/>
      <c r="Y7" s="15"/>
      <c r="Z7" s="15">
        <v>63.7</v>
      </c>
      <c r="AA7" s="24">
        <v>64.1</v>
      </c>
      <c r="AB7" s="24">
        <v>64.3</v>
      </c>
      <c r="AC7" s="19">
        <v>64.7</v>
      </c>
      <c r="AD7" s="52" t="s">
        <v>9</v>
      </c>
      <c r="AE7" s="21">
        <f t="shared" si="1"/>
        <v>0.4</v>
      </c>
      <c r="AF7" s="21">
        <f>AA7-F7</f>
        <v>2.2</v>
      </c>
    </row>
    <row r="8" ht="15.75" customHeight="1">
      <c r="A8" s="13" t="s">
        <v>49</v>
      </c>
      <c r="B8" s="47">
        <v>74.6</v>
      </c>
      <c r="C8" s="15"/>
      <c r="D8" s="15"/>
      <c r="E8" s="15">
        <v>74.1</v>
      </c>
      <c r="F8" s="24"/>
      <c r="G8" s="15">
        <v>73.9</v>
      </c>
      <c r="H8" s="15"/>
      <c r="I8" s="15">
        <v>74.9</v>
      </c>
      <c r="J8" s="13"/>
      <c r="K8" s="13"/>
      <c r="L8" s="13">
        <v>74.6</v>
      </c>
      <c r="M8" s="13">
        <v>74.2</v>
      </c>
      <c r="N8" s="13"/>
      <c r="O8" s="18">
        <v>76.7</v>
      </c>
      <c r="P8" s="18"/>
      <c r="Q8" s="24">
        <v>75.8</v>
      </c>
      <c r="R8" s="17">
        <v>76.1</v>
      </c>
      <c r="S8" s="18">
        <v>77.0</v>
      </c>
      <c r="T8" s="18"/>
      <c r="U8" s="18">
        <v>76.4</v>
      </c>
      <c r="V8" s="15">
        <v>76.0</v>
      </c>
      <c r="W8" s="15">
        <v>77.1</v>
      </c>
      <c r="X8" s="15">
        <v>76.6</v>
      </c>
      <c r="Y8" s="15">
        <v>76.6</v>
      </c>
      <c r="Z8" s="15">
        <v>76.5</v>
      </c>
      <c r="AA8" s="18">
        <v>76.8</v>
      </c>
      <c r="AB8" s="18">
        <v>75.4</v>
      </c>
      <c r="AC8" s="24">
        <v>75.7</v>
      </c>
      <c r="AD8" s="20" t="s">
        <v>7</v>
      </c>
      <c r="AE8" s="21">
        <f t="shared" si="1"/>
        <v>0.3</v>
      </c>
      <c r="AF8" s="21">
        <f t="shared" ref="AF8:AF9" si="3">AA8-B8</f>
        <v>2.2</v>
      </c>
    </row>
    <row r="9" ht="15.75" customHeight="1">
      <c r="A9" s="13" t="s">
        <v>50</v>
      </c>
      <c r="B9" s="47">
        <v>65.5</v>
      </c>
      <c r="C9" s="15">
        <v>65.0</v>
      </c>
      <c r="D9" s="15">
        <v>64.8</v>
      </c>
      <c r="E9" s="15">
        <v>67.0</v>
      </c>
      <c r="F9" s="24"/>
      <c r="G9" s="15">
        <v>67.7</v>
      </c>
      <c r="H9" s="15">
        <v>69.3</v>
      </c>
      <c r="I9" s="15">
        <v>69.2</v>
      </c>
      <c r="J9" s="13">
        <v>69.5</v>
      </c>
      <c r="K9" s="13">
        <v>69.7</v>
      </c>
      <c r="L9" s="13">
        <v>69.0</v>
      </c>
      <c r="M9" s="13">
        <v>69.8</v>
      </c>
      <c r="N9" s="13">
        <v>69.0</v>
      </c>
      <c r="O9" s="18">
        <v>70.2</v>
      </c>
      <c r="P9" s="18">
        <v>69.9</v>
      </c>
      <c r="Q9" s="24">
        <v>69.4</v>
      </c>
      <c r="R9" s="17">
        <v>70.1</v>
      </c>
      <c r="S9" s="18">
        <v>70.0</v>
      </c>
      <c r="T9" s="18"/>
      <c r="U9" s="18">
        <v>70.2</v>
      </c>
      <c r="V9" s="15">
        <v>69.5</v>
      </c>
      <c r="W9" s="15">
        <v>70.2</v>
      </c>
      <c r="X9" s="15">
        <v>69.8</v>
      </c>
      <c r="Y9" s="15">
        <v>70.2</v>
      </c>
      <c r="Z9" s="53">
        <v>70.7</v>
      </c>
      <c r="AA9" s="18">
        <v>70.0</v>
      </c>
      <c r="AB9" s="18">
        <v>71.7</v>
      </c>
      <c r="AC9" s="18">
        <v>70.8</v>
      </c>
      <c r="AD9" s="20" t="s">
        <v>7</v>
      </c>
      <c r="AE9" s="21">
        <f t="shared" si="1"/>
        <v>-0.9</v>
      </c>
      <c r="AF9" s="21">
        <f t="shared" si="3"/>
        <v>4.5</v>
      </c>
    </row>
    <row r="10" ht="15.75" customHeight="1">
      <c r="A10" s="13" t="s">
        <v>51</v>
      </c>
      <c r="B10" s="47"/>
      <c r="C10" s="15"/>
      <c r="D10" s="15">
        <v>68.5</v>
      </c>
      <c r="E10" s="15">
        <v>68.5</v>
      </c>
      <c r="F10" s="24">
        <v>69.0</v>
      </c>
      <c r="G10" s="15">
        <v>69.2</v>
      </c>
      <c r="H10" s="15">
        <v>68.9</v>
      </c>
      <c r="I10" s="15">
        <v>69.3</v>
      </c>
      <c r="J10" s="13"/>
      <c r="K10" s="13"/>
      <c r="L10" s="13"/>
      <c r="M10" s="13">
        <v>70.2</v>
      </c>
      <c r="N10" s="13">
        <v>70.9</v>
      </c>
      <c r="O10" s="18">
        <v>70.9</v>
      </c>
      <c r="P10" s="18">
        <v>70.8</v>
      </c>
      <c r="Q10" s="24">
        <v>70.6</v>
      </c>
      <c r="R10" s="17">
        <v>69.9</v>
      </c>
      <c r="S10" s="18">
        <v>71.0</v>
      </c>
      <c r="T10" s="18">
        <v>71.6</v>
      </c>
      <c r="U10" s="18">
        <v>71.3</v>
      </c>
      <c r="V10" s="15">
        <v>71.1</v>
      </c>
      <c r="W10" s="15">
        <v>71.1</v>
      </c>
      <c r="X10" s="15">
        <v>70.6</v>
      </c>
      <c r="Y10" s="15">
        <v>70.5</v>
      </c>
      <c r="Z10" s="15">
        <v>71.8</v>
      </c>
      <c r="AA10" s="18">
        <v>71.4</v>
      </c>
      <c r="AB10" s="18">
        <v>70.8</v>
      </c>
      <c r="AC10" s="18">
        <v>71.4</v>
      </c>
      <c r="AD10" s="20" t="s">
        <v>7</v>
      </c>
      <c r="AE10" s="21">
        <f t="shared" si="1"/>
        <v>0.6</v>
      </c>
      <c r="AF10" s="21">
        <f t="shared" ref="AF10:AF11" si="4">AA10-D10</f>
        <v>2.9</v>
      </c>
    </row>
    <row r="11" ht="15.75" customHeight="1">
      <c r="A11" s="13" t="s">
        <v>52</v>
      </c>
      <c r="B11" s="47"/>
      <c r="C11" s="15"/>
      <c r="D11" s="15">
        <v>80.6</v>
      </c>
      <c r="E11" s="15">
        <v>80.0</v>
      </c>
      <c r="F11" s="15">
        <v>80.7</v>
      </c>
      <c r="G11" s="15">
        <v>79.4</v>
      </c>
      <c r="H11" s="15">
        <v>79.0</v>
      </c>
      <c r="I11" s="15">
        <v>80.7</v>
      </c>
      <c r="J11" s="13">
        <v>79.3</v>
      </c>
      <c r="K11" s="13">
        <v>79.7</v>
      </c>
      <c r="L11" s="13">
        <v>78.6</v>
      </c>
      <c r="M11" s="13">
        <v>78.8</v>
      </c>
      <c r="N11" s="13">
        <v>78.5</v>
      </c>
      <c r="O11" s="18">
        <v>78.5</v>
      </c>
      <c r="P11" s="18">
        <v>77.9</v>
      </c>
      <c r="Q11" s="24">
        <v>80.4</v>
      </c>
      <c r="R11" s="17">
        <v>79.7</v>
      </c>
      <c r="S11" s="18">
        <v>78.7</v>
      </c>
      <c r="T11" s="18"/>
      <c r="U11" s="18">
        <v>79.4</v>
      </c>
      <c r="V11" s="15">
        <v>80.0</v>
      </c>
      <c r="W11" s="15">
        <v>79.1</v>
      </c>
      <c r="X11" s="15">
        <v>79.8</v>
      </c>
      <c r="Y11" s="15">
        <v>79.8</v>
      </c>
      <c r="Z11" s="15">
        <v>80.3</v>
      </c>
      <c r="AA11" s="50">
        <v>79.3</v>
      </c>
      <c r="AB11" s="50">
        <v>80.2</v>
      </c>
      <c r="AC11" s="18">
        <v>80.7</v>
      </c>
      <c r="AD11" s="51" t="s">
        <v>14</v>
      </c>
      <c r="AE11" s="21">
        <f t="shared" si="1"/>
        <v>0.5</v>
      </c>
      <c r="AF11" s="21">
        <f t="shared" si="4"/>
        <v>-1.3</v>
      </c>
    </row>
    <row r="12" ht="15.75" customHeight="1">
      <c r="A12" s="13" t="s">
        <v>53</v>
      </c>
      <c r="B12" s="47"/>
      <c r="C12" s="15"/>
      <c r="D12" s="15"/>
      <c r="E12" s="15"/>
      <c r="F12" s="37">
        <v>62.4</v>
      </c>
      <c r="G12" s="15"/>
      <c r="H12" s="15"/>
      <c r="I12" s="15"/>
      <c r="J12" s="13"/>
      <c r="K12" s="13"/>
      <c r="L12" s="13"/>
      <c r="M12" s="13"/>
      <c r="N12" s="13"/>
      <c r="O12" s="24"/>
      <c r="P12" s="28" t="s">
        <v>48</v>
      </c>
      <c r="Q12" s="24"/>
      <c r="R12" s="15"/>
      <c r="S12" s="28"/>
      <c r="T12" s="28"/>
      <c r="U12" s="18">
        <v>61.6</v>
      </c>
      <c r="V12" s="15">
        <v>61.0</v>
      </c>
      <c r="W12" s="15">
        <v>61.5</v>
      </c>
      <c r="X12" s="15">
        <v>61.7</v>
      </c>
      <c r="Y12" s="15">
        <v>60.9</v>
      </c>
      <c r="Z12" s="15">
        <v>61.1</v>
      </c>
      <c r="AA12" s="24">
        <v>61.1</v>
      </c>
      <c r="AB12" s="24">
        <v>60.4</v>
      </c>
      <c r="AC12" s="18">
        <v>60.0</v>
      </c>
      <c r="AD12" s="52" t="s">
        <v>9</v>
      </c>
      <c r="AE12" s="21">
        <f t="shared" si="1"/>
        <v>-0.4</v>
      </c>
      <c r="AF12" s="21">
        <f>AA12-F12</f>
        <v>-1.3</v>
      </c>
      <c r="AP12" s="31"/>
    </row>
    <row r="13" ht="15.75" customHeight="1">
      <c r="A13" s="13" t="s">
        <v>54</v>
      </c>
      <c r="B13" s="47">
        <v>79.1</v>
      </c>
      <c r="C13" s="15">
        <v>80.7</v>
      </c>
      <c r="D13" s="15">
        <v>79.0</v>
      </c>
      <c r="E13" s="15">
        <v>78.6</v>
      </c>
      <c r="F13" s="15">
        <v>78.7</v>
      </c>
      <c r="G13" s="15">
        <v>79.0</v>
      </c>
      <c r="H13" s="15">
        <v>78.1</v>
      </c>
      <c r="I13" s="15"/>
      <c r="J13" s="13">
        <v>78.9</v>
      </c>
      <c r="K13" s="13">
        <v>78.8</v>
      </c>
      <c r="L13" s="13">
        <v>77.9</v>
      </c>
      <c r="M13" s="13">
        <v>78.7</v>
      </c>
      <c r="N13" s="13"/>
      <c r="O13" s="18">
        <v>80.1</v>
      </c>
      <c r="P13" s="18">
        <v>79.8</v>
      </c>
      <c r="Q13" s="24">
        <v>79.8</v>
      </c>
      <c r="R13" s="17">
        <v>79.9</v>
      </c>
      <c r="S13" s="18">
        <v>80.4</v>
      </c>
      <c r="T13" s="18"/>
      <c r="U13" s="18">
        <v>82.7</v>
      </c>
      <c r="V13" s="15"/>
      <c r="W13" s="15">
        <v>79.9</v>
      </c>
      <c r="X13" s="15">
        <v>80.7</v>
      </c>
      <c r="Y13" s="24"/>
      <c r="Z13" s="15">
        <v>80.0</v>
      </c>
      <c r="AA13" s="50">
        <v>79.4</v>
      </c>
      <c r="AB13" s="50">
        <v>80.2</v>
      </c>
      <c r="AC13" s="18">
        <v>79.9</v>
      </c>
      <c r="AD13" s="51" t="s">
        <v>14</v>
      </c>
      <c r="AE13" s="21">
        <f t="shared" si="1"/>
        <v>-0.3</v>
      </c>
      <c r="AF13" s="21">
        <f t="shared" ref="AF13:AF14" si="5">AA13-B13</f>
        <v>0.3</v>
      </c>
      <c r="AP13" s="31" t="s">
        <v>55</v>
      </c>
    </row>
    <row r="14" ht="15.75" customHeight="1">
      <c r="A14" s="13" t="s">
        <v>56</v>
      </c>
      <c r="B14" s="47">
        <v>80.7</v>
      </c>
      <c r="C14" s="15"/>
      <c r="D14" s="15"/>
      <c r="E14" s="15">
        <v>81.0</v>
      </c>
      <c r="F14" s="54"/>
      <c r="G14" s="15"/>
      <c r="H14" s="15">
        <v>82.2</v>
      </c>
      <c r="I14" s="15"/>
      <c r="J14" s="13"/>
      <c r="K14" s="13">
        <v>81.4</v>
      </c>
      <c r="L14" s="13">
        <v>80.9</v>
      </c>
      <c r="M14" s="13">
        <v>80.9</v>
      </c>
      <c r="N14" s="13">
        <v>80.6</v>
      </c>
      <c r="O14" s="18">
        <v>80.8</v>
      </c>
      <c r="P14" s="18">
        <v>82.1</v>
      </c>
      <c r="Q14" s="24">
        <v>80.8</v>
      </c>
      <c r="R14" s="17">
        <v>80.7</v>
      </c>
      <c r="S14" s="18">
        <v>79.6</v>
      </c>
      <c r="T14" s="18"/>
      <c r="U14" s="18">
        <v>80.0</v>
      </c>
      <c r="V14" s="15">
        <v>80.7</v>
      </c>
      <c r="W14" s="15"/>
      <c r="X14" s="15">
        <v>80.1</v>
      </c>
      <c r="Y14" s="15"/>
      <c r="Z14" s="15">
        <v>79.9</v>
      </c>
      <c r="AA14" s="18">
        <v>81.1</v>
      </c>
      <c r="AB14" s="18">
        <v>80.7</v>
      </c>
      <c r="AC14" s="18">
        <v>80.7</v>
      </c>
      <c r="AD14" s="20" t="s">
        <v>14</v>
      </c>
      <c r="AE14" s="21">
        <f t="shared" si="1"/>
        <v>0</v>
      </c>
      <c r="AF14" s="21">
        <f t="shared" si="5"/>
        <v>0.4</v>
      </c>
      <c r="AG14" s="31" t="s">
        <v>57</v>
      </c>
      <c r="AP14" s="31" t="s">
        <v>58</v>
      </c>
    </row>
    <row r="15" ht="15.75" customHeight="1">
      <c r="A15" s="13" t="s">
        <v>59</v>
      </c>
      <c r="B15" s="47"/>
      <c r="C15" s="15"/>
      <c r="D15" s="15">
        <v>73.1</v>
      </c>
      <c r="E15" s="15">
        <v>73.3</v>
      </c>
      <c r="F15" s="15">
        <v>73.2</v>
      </c>
      <c r="G15" s="15">
        <v>73.3</v>
      </c>
      <c r="H15" s="15">
        <v>72.9</v>
      </c>
      <c r="I15" s="15">
        <v>72.6</v>
      </c>
      <c r="J15" s="13">
        <v>72.6</v>
      </c>
      <c r="K15" s="13">
        <v>73.5</v>
      </c>
      <c r="L15" s="13">
        <v>73.1</v>
      </c>
      <c r="M15" s="13">
        <v>74.4</v>
      </c>
      <c r="N15" s="13">
        <v>73.3</v>
      </c>
      <c r="O15" s="18">
        <v>73.8</v>
      </c>
      <c r="P15" s="18">
        <v>74.1</v>
      </c>
      <c r="Q15" s="24">
        <v>73.9</v>
      </c>
      <c r="R15" s="17">
        <v>74.6</v>
      </c>
      <c r="S15" s="18">
        <v>74.4</v>
      </c>
      <c r="T15" s="18"/>
      <c r="U15" s="18">
        <v>75.3</v>
      </c>
      <c r="V15" s="15">
        <v>74.1</v>
      </c>
      <c r="W15" s="15">
        <v>74.9</v>
      </c>
      <c r="X15" s="15">
        <v>73.9</v>
      </c>
      <c r="Y15" s="15">
        <v>73.4</v>
      </c>
      <c r="Z15" s="15">
        <v>73.7</v>
      </c>
      <c r="AA15" s="18">
        <v>75.0</v>
      </c>
      <c r="AB15" s="18">
        <v>74.1</v>
      </c>
      <c r="AC15" s="18">
        <v>74.1</v>
      </c>
      <c r="AD15" s="20" t="s">
        <v>14</v>
      </c>
      <c r="AE15" s="21">
        <f t="shared" si="1"/>
        <v>0</v>
      </c>
      <c r="AF15" s="21">
        <f>AA15-D15</f>
        <v>1.9</v>
      </c>
    </row>
    <row r="16" ht="15.75" customHeight="1">
      <c r="A16" s="13" t="s">
        <v>60</v>
      </c>
      <c r="B16" s="47">
        <v>63.3</v>
      </c>
      <c r="C16" s="15">
        <v>63.9</v>
      </c>
      <c r="D16" s="15">
        <v>63.5</v>
      </c>
      <c r="E16" s="15">
        <v>64.5</v>
      </c>
      <c r="F16" s="15">
        <v>69.0</v>
      </c>
      <c r="G16" s="15">
        <v>63.5</v>
      </c>
      <c r="H16" s="15">
        <v>63.3</v>
      </c>
      <c r="I16" s="15">
        <v>63.3</v>
      </c>
      <c r="J16" s="13">
        <v>63.1</v>
      </c>
      <c r="K16" s="13">
        <v>63.8</v>
      </c>
      <c r="L16" s="13">
        <v>62.9</v>
      </c>
      <c r="M16" s="13">
        <v>62.8</v>
      </c>
      <c r="N16" s="13">
        <v>62.8</v>
      </c>
      <c r="O16" s="24">
        <v>63.3</v>
      </c>
      <c r="P16" s="28">
        <v>62.5</v>
      </c>
      <c r="Q16" s="24">
        <v>63.7</v>
      </c>
      <c r="R16" s="15">
        <v>63.1</v>
      </c>
      <c r="S16" s="28">
        <v>63.3</v>
      </c>
      <c r="T16" s="28"/>
      <c r="U16" s="18">
        <v>63.8</v>
      </c>
      <c r="V16" s="15">
        <v>64.0</v>
      </c>
      <c r="W16" s="15">
        <v>63.6</v>
      </c>
      <c r="X16" s="15">
        <v>64.0</v>
      </c>
      <c r="Y16" s="15">
        <v>65.0</v>
      </c>
      <c r="Z16" s="15">
        <v>64.6</v>
      </c>
      <c r="AA16" s="50">
        <v>65.0</v>
      </c>
      <c r="AB16" s="50">
        <v>64.7</v>
      </c>
      <c r="AC16" s="24">
        <v>65.4</v>
      </c>
      <c r="AD16" s="51" t="s">
        <v>14</v>
      </c>
      <c r="AE16" s="21">
        <f t="shared" si="1"/>
        <v>0.7</v>
      </c>
      <c r="AF16" s="21">
        <f t="shared" ref="AF16:AF26" si="6">AA16-B16</f>
        <v>1.7</v>
      </c>
    </row>
    <row r="17" ht="15.75" customHeight="1">
      <c r="A17" s="13" t="s">
        <v>61</v>
      </c>
      <c r="B17" s="47">
        <v>65.9</v>
      </c>
      <c r="C17" s="15">
        <v>64.3</v>
      </c>
      <c r="D17" s="15"/>
      <c r="E17" s="15"/>
      <c r="F17" s="15"/>
      <c r="G17" s="15">
        <v>65.7</v>
      </c>
      <c r="H17" s="15"/>
      <c r="I17" s="15"/>
      <c r="J17" s="13"/>
      <c r="K17" s="13">
        <v>65.7</v>
      </c>
      <c r="L17" s="13">
        <v>65.3</v>
      </c>
      <c r="M17" s="13"/>
      <c r="N17" s="13">
        <v>67.0</v>
      </c>
      <c r="O17" s="18">
        <v>67.5</v>
      </c>
      <c r="P17" s="18">
        <v>66.9</v>
      </c>
      <c r="Q17" s="24">
        <v>65.9</v>
      </c>
      <c r="R17" s="17">
        <v>66.0</v>
      </c>
      <c r="S17" s="18"/>
      <c r="T17" s="18"/>
      <c r="U17" s="18">
        <v>65.9</v>
      </c>
      <c r="V17" s="15"/>
      <c r="W17" s="15">
        <v>66.4</v>
      </c>
      <c r="X17" s="15">
        <v>65.3</v>
      </c>
      <c r="Y17" s="15"/>
      <c r="Z17" s="15">
        <v>65.8</v>
      </c>
      <c r="AA17" s="18">
        <v>65.8</v>
      </c>
      <c r="AB17" s="18">
        <v>64.9</v>
      </c>
      <c r="AC17" s="19">
        <v>64.6</v>
      </c>
      <c r="AD17" s="20" t="s">
        <v>14</v>
      </c>
      <c r="AE17" s="21">
        <f t="shared" si="1"/>
        <v>-0.3</v>
      </c>
      <c r="AF17" s="21">
        <f t="shared" si="6"/>
        <v>-0.1</v>
      </c>
    </row>
    <row r="18" ht="15.75" customHeight="1">
      <c r="A18" s="13" t="s">
        <v>62</v>
      </c>
      <c r="B18" s="47">
        <v>80.1</v>
      </c>
      <c r="C18" s="15">
        <v>80.8</v>
      </c>
      <c r="D18" s="15">
        <v>80.1</v>
      </c>
      <c r="E18" s="15">
        <v>78.7</v>
      </c>
      <c r="F18" s="15">
        <v>79.8</v>
      </c>
      <c r="G18" s="15">
        <v>80.6</v>
      </c>
      <c r="H18" s="15">
        <v>79.4</v>
      </c>
      <c r="I18" s="15"/>
      <c r="J18" s="13"/>
      <c r="K18" s="13">
        <v>79.9</v>
      </c>
      <c r="L18" s="13">
        <v>79.9</v>
      </c>
      <c r="M18" s="13"/>
      <c r="N18" s="13">
        <v>80.8</v>
      </c>
      <c r="O18" s="18">
        <v>80.5</v>
      </c>
      <c r="P18" s="18">
        <v>81.3</v>
      </c>
      <c r="Q18" s="24">
        <v>80.6</v>
      </c>
      <c r="R18" s="17">
        <v>79.8</v>
      </c>
      <c r="S18" s="18">
        <v>80.0</v>
      </c>
      <c r="T18" s="18"/>
      <c r="U18" s="18">
        <v>81.4</v>
      </c>
      <c r="V18" s="15">
        <v>81.5</v>
      </c>
      <c r="W18" s="15">
        <v>80.9</v>
      </c>
      <c r="X18" s="15">
        <v>80.2</v>
      </c>
      <c r="Y18" s="15">
        <v>81.7</v>
      </c>
      <c r="Z18" s="15">
        <v>80.5</v>
      </c>
      <c r="AA18" s="18">
        <v>79.8</v>
      </c>
      <c r="AB18" s="18">
        <v>79.9</v>
      </c>
      <c r="AC18" s="24">
        <v>79.1</v>
      </c>
      <c r="AD18" s="20" t="s">
        <v>14</v>
      </c>
      <c r="AE18" s="21">
        <f t="shared" si="1"/>
        <v>-0.8</v>
      </c>
      <c r="AF18" s="21">
        <f t="shared" si="6"/>
        <v>-0.3</v>
      </c>
      <c r="AG18" s="31" t="s">
        <v>57</v>
      </c>
    </row>
    <row r="19" ht="15.75" customHeight="1">
      <c r="A19" s="13" t="s">
        <v>63</v>
      </c>
      <c r="B19" s="47">
        <v>64.9</v>
      </c>
      <c r="C19" s="15">
        <v>65.7</v>
      </c>
      <c r="D19" s="15">
        <v>65.4</v>
      </c>
      <c r="E19" s="15">
        <v>66.0</v>
      </c>
      <c r="F19" s="24">
        <v>66.9</v>
      </c>
      <c r="G19" s="15">
        <v>67.6</v>
      </c>
      <c r="H19" s="15"/>
      <c r="I19" s="15">
        <v>65.9</v>
      </c>
      <c r="J19" s="13">
        <v>68.5</v>
      </c>
      <c r="K19" s="13">
        <v>67.6</v>
      </c>
      <c r="L19" s="55">
        <v>68.2</v>
      </c>
      <c r="M19" s="13">
        <v>68.3</v>
      </c>
      <c r="N19" s="13"/>
      <c r="O19" s="18"/>
      <c r="P19" s="18">
        <v>70.3</v>
      </c>
      <c r="Q19" s="24">
        <v>69.7</v>
      </c>
      <c r="R19" s="17">
        <v>69.7</v>
      </c>
      <c r="S19" s="18">
        <v>70.4</v>
      </c>
      <c r="T19" s="18"/>
      <c r="U19" s="18">
        <v>69.7</v>
      </c>
      <c r="V19" s="15"/>
      <c r="W19" s="15"/>
      <c r="X19" s="15">
        <v>69.4</v>
      </c>
      <c r="Y19" s="15">
        <v>71.3</v>
      </c>
      <c r="Z19" s="15">
        <v>70.8</v>
      </c>
      <c r="AA19" s="18">
        <v>71.5</v>
      </c>
      <c r="AB19" s="18">
        <v>70.5</v>
      </c>
      <c r="AC19" s="19">
        <v>71.3</v>
      </c>
      <c r="AD19" s="20" t="s">
        <v>7</v>
      </c>
      <c r="AE19" s="21">
        <f t="shared" si="1"/>
        <v>0.8</v>
      </c>
      <c r="AF19" s="21">
        <f t="shared" si="6"/>
        <v>6.6</v>
      </c>
    </row>
    <row r="20" ht="15.75" customHeight="1">
      <c r="A20" s="13" t="s">
        <v>64</v>
      </c>
      <c r="B20" s="47">
        <v>65.5</v>
      </c>
      <c r="C20" s="15">
        <v>65.2</v>
      </c>
      <c r="D20" s="15">
        <v>65.7</v>
      </c>
      <c r="E20" s="15">
        <v>66.5</v>
      </c>
      <c r="F20" s="24"/>
      <c r="G20" s="15">
        <v>66.2</v>
      </c>
      <c r="H20" s="15">
        <v>66.3</v>
      </c>
      <c r="I20" s="15">
        <v>64.7</v>
      </c>
      <c r="J20" s="13">
        <v>65.2</v>
      </c>
      <c r="K20" s="13">
        <v>66.4</v>
      </c>
      <c r="L20" s="13">
        <v>66.1</v>
      </c>
      <c r="M20" s="13">
        <v>65.9</v>
      </c>
      <c r="N20" s="13">
        <v>66.2</v>
      </c>
      <c r="O20" s="18">
        <v>65.8</v>
      </c>
      <c r="P20" s="18">
        <v>66.4</v>
      </c>
      <c r="Q20" s="24">
        <v>67.0</v>
      </c>
      <c r="R20" s="17">
        <v>67.0</v>
      </c>
      <c r="S20" s="18">
        <v>67.5</v>
      </c>
      <c r="T20" s="18"/>
      <c r="U20" s="18">
        <v>67.4</v>
      </c>
      <c r="V20" s="15">
        <v>68.0</v>
      </c>
      <c r="W20" s="15">
        <v>67.2</v>
      </c>
      <c r="X20" s="15">
        <v>67.7</v>
      </c>
      <c r="Y20" s="15">
        <v>67.8</v>
      </c>
      <c r="Z20" s="15">
        <v>67.4</v>
      </c>
      <c r="AA20" s="18">
        <v>68.1</v>
      </c>
      <c r="AB20" s="18">
        <v>67.8</v>
      </c>
      <c r="AC20" s="24">
        <v>68.3</v>
      </c>
      <c r="AD20" s="20" t="s">
        <v>17</v>
      </c>
      <c r="AE20" s="21">
        <f t="shared" si="1"/>
        <v>0.5</v>
      </c>
      <c r="AF20" s="21">
        <f t="shared" si="6"/>
        <v>2.6</v>
      </c>
    </row>
    <row r="21" ht="15.75" customHeight="1">
      <c r="A21" s="13" t="s">
        <v>65</v>
      </c>
      <c r="B21" s="47">
        <v>64.7</v>
      </c>
      <c r="C21" s="15"/>
      <c r="D21" s="15">
        <v>64.4</v>
      </c>
      <c r="E21" s="15"/>
      <c r="F21" s="15" t="s">
        <v>66</v>
      </c>
      <c r="G21" s="15">
        <v>65.1</v>
      </c>
      <c r="H21" s="15"/>
      <c r="I21" s="15"/>
      <c r="J21" s="13">
        <v>64.6</v>
      </c>
      <c r="K21" s="13"/>
      <c r="L21" s="13"/>
      <c r="M21" s="13">
        <v>63.8</v>
      </c>
      <c r="N21" s="13"/>
      <c r="O21" s="18"/>
      <c r="P21" s="18" t="s">
        <v>48</v>
      </c>
      <c r="Q21" s="24"/>
      <c r="R21" s="17">
        <v>63.6</v>
      </c>
      <c r="S21" s="18">
        <v>63.5</v>
      </c>
      <c r="T21" s="18"/>
      <c r="U21" s="18"/>
      <c r="V21" s="15">
        <v>62.7</v>
      </c>
      <c r="W21" s="15">
        <v>64.3</v>
      </c>
      <c r="X21" s="15"/>
      <c r="Y21" s="15"/>
      <c r="Z21" s="15">
        <v>63.3</v>
      </c>
      <c r="AA21" s="18"/>
      <c r="AB21" s="18"/>
      <c r="AC21" s="18">
        <v>63.0</v>
      </c>
      <c r="AD21" s="20" t="s">
        <v>67</v>
      </c>
      <c r="AE21" s="21">
        <f t="shared" si="1"/>
        <v>63</v>
      </c>
      <c r="AF21" s="21">
        <f t="shared" si="6"/>
        <v>-64.7</v>
      </c>
    </row>
    <row r="22" ht="15.75" customHeight="1">
      <c r="A22" s="13" t="s">
        <v>68</v>
      </c>
      <c r="B22" s="47">
        <v>88.6</v>
      </c>
      <c r="C22" s="15"/>
      <c r="D22" s="15"/>
      <c r="E22" s="15">
        <v>91.0</v>
      </c>
      <c r="F22" s="15"/>
      <c r="G22" s="15"/>
      <c r="H22" s="15"/>
      <c r="I22" s="15"/>
      <c r="J22" s="13"/>
      <c r="K22" s="13">
        <v>89.6</v>
      </c>
      <c r="L22" s="13"/>
      <c r="M22" s="13"/>
      <c r="N22" s="13"/>
      <c r="O22" s="24"/>
      <c r="P22" s="28">
        <v>88.4</v>
      </c>
      <c r="Q22" s="24"/>
      <c r="R22" s="15">
        <v>89.3</v>
      </c>
      <c r="S22" s="28">
        <v>88.8</v>
      </c>
      <c r="T22" s="28"/>
      <c r="U22" s="18">
        <v>87.9</v>
      </c>
      <c r="V22" s="15">
        <v>87.2</v>
      </c>
      <c r="W22" s="15">
        <v>88.2</v>
      </c>
      <c r="X22" s="15">
        <v>88.9</v>
      </c>
      <c r="Y22" s="15">
        <v>89.1</v>
      </c>
      <c r="Z22" s="15">
        <v>89.8</v>
      </c>
      <c r="AA22" s="24">
        <v>90.3</v>
      </c>
      <c r="AB22" s="24">
        <v>90.4</v>
      </c>
      <c r="AC22" s="24">
        <v>91.2</v>
      </c>
      <c r="AD22" s="52" t="s">
        <v>69</v>
      </c>
      <c r="AE22" s="21">
        <f t="shared" si="1"/>
        <v>0.8</v>
      </c>
      <c r="AF22" s="21">
        <f t="shared" si="6"/>
        <v>1.7</v>
      </c>
    </row>
    <row r="23" ht="15.75" customHeight="1">
      <c r="A23" s="13" t="s">
        <v>70</v>
      </c>
      <c r="B23" s="47">
        <v>70.0</v>
      </c>
      <c r="C23" s="15">
        <v>69.7</v>
      </c>
      <c r="D23" s="15">
        <v>71.5</v>
      </c>
      <c r="E23" s="15">
        <v>70.2</v>
      </c>
      <c r="F23" s="15">
        <v>69.9</v>
      </c>
      <c r="G23" s="15"/>
      <c r="H23" s="15">
        <v>70.0</v>
      </c>
      <c r="I23" s="15"/>
      <c r="J23" s="13">
        <v>69.7</v>
      </c>
      <c r="K23" s="13">
        <v>70.0</v>
      </c>
      <c r="L23" s="13">
        <v>70.2</v>
      </c>
      <c r="M23" s="13">
        <v>70.1</v>
      </c>
      <c r="N23" s="13"/>
      <c r="O23" s="48"/>
      <c r="P23" s="48"/>
      <c r="Q23" s="24"/>
      <c r="R23" s="49">
        <v>70.2</v>
      </c>
      <c r="S23" s="48">
        <v>69.7</v>
      </c>
      <c r="T23" s="48"/>
      <c r="U23" s="18">
        <v>68.4</v>
      </c>
      <c r="V23" s="15"/>
      <c r="W23" s="15"/>
      <c r="X23" s="15"/>
      <c r="Y23" s="15"/>
      <c r="Z23" s="15">
        <v>68.8</v>
      </c>
      <c r="AA23" s="18">
        <v>69.9</v>
      </c>
      <c r="AB23" s="18">
        <v>69.6</v>
      </c>
      <c r="AC23" s="18">
        <v>69.6</v>
      </c>
      <c r="AD23" s="20" t="s">
        <v>17</v>
      </c>
      <c r="AE23" s="21">
        <f t="shared" si="1"/>
        <v>0</v>
      </c>
      <c r="AF23" s="21">
        <f t="shared" si="6"/>
        <v>-0.1</v>
      </c>
    </row>
    <row r="24" ht="15.75" customHeight="1">
      <c r="A24" s="28" t="s">
        <v>71</v>
      </c>
      <c r="B24" s="47">
        <v>77.2</v>
      </c>
      <c r="C24" s="15">
        <v>78.4</v>
      </c>
      <c r="D24" s="15">
        <v>76.9</v>
      </c>
      <c r="E24" s="15"/>
      <c r="F24" s="15">
        <v>76.89</v>
      </c>
      <c r="G24" s="15"/>
      <c r="H24" s="15"/>
      <c r="I24" s="15"/>
      <c r="J24" s="13">
        <v>78.3</v>
      </c>
      <c r="K24" s="13"/>
      <c r="L24" s="13"/>
      <c r="M24" s="13"/>
      <c r="N24" s="13"/>
      <c r="O24" s="24"/>
      <c r="P24" s="18" t="s">
        <v>48</v>
      </c>
      <c r="Q24" s="24"/>
      <c r="R24" s="15">
        <v>80.1</v>
      </c>
      <c r="S24" s="28">
        <v>79.9</v>
      </c>
      <c r="T24" s="28"/>
      <c r="U24" s="18">
        <v>80.4</v>
      </c>
      <c r="V24" s="15"/>
      <c r="W24" s="15">
        <v>79.4</v>
      </c>
      <c r="X24" s="15">
        <v>80.5</v>
      </c>
      <c r="Y24" s="15">
        <v>80.4</v>
      </c>
      <c r="Z24" s="15">
        <v>80.3</v>
      </c>
      <c r="AA24" s="24">
        <v>80.4</v>
      </c>
      <c r="AB24" s="24">
        <v>80.5</v>
      </c>
      <c r="AC24" s="24">
        <v>81.5</v>
      </c>
      <c r="AD24" s="52" t="s">
        <v>9</v>
      </c>
      <c r="AE24" s="21">
        <f t="shared" si="1"/>
        <v>1</v>
      </c>
      <c r="AF24" s="21">
        <f t="shared" si="6"/>
        <v>3.2</v>
      </c>
    </row>
    <row r="25" ht="15.75" customHeight="1">
      <c r="A25" s="13" t="s">
        <v>72</v>
      </c>
      <c r="B25" s="47">
        <v>69.6</v>
      </c>
      <c r="C25" s="15"/>
      <c r="D25" s="15"/>
      <c r="E25" s="15"/>
      <c r="F25" s="15">
        <v>71.0</v>
      </c>
      <c r="G25" s="15"/>
      <c r="H25" s="15"/>
      <c r="I25" s="15">
        <v>77.5</v>
      </c>
      <c r="J25" s="13"/>
      <c r="K25" s="13"/>
      <c r="L25" s="13"/>
      <c r="M25" s="13"/>
      <c r="N25" s="13"/>
      <c r="O25" s="18"/>
      <c r="P25" s="18" t="s">
        <v>48</v>
      </c>
      <c r="Q25" s="24"/>
      <c r="R25" s="17"/>
      <c r="S25" s="18">
        <v>72.9</v>
      </c>
      <c r="T25" s="18"/>
      <c r="U25" s="18"/>
      <c r="V25" s="15"/>
      <c r="W25" s="15">
        <v>73.6</v>
      </c>
      <c r="X25" s="15"/>
      <c r="Y25" s="15"/>
      <c r="Z25" s="15"/>
      <c r="AA25" s="18"/>
      <c r="AB25" s="18"/>
      <c r="AC25" s="18"/>
      <c r="AD25" s="20" t="s">
        <v>67</v>
      </c>
      <c r="AE25" s="21">
        <f t="shared" si="1"/>
        <v>0</v>
      </c>
      <c r="AF25" s="21">
        <f t="shared" si="6"/>
        <v>-69.6</v>
      </c>
    </row>
    <row r="26" ht="15.75" customHeight="1">
      <c r="A26" s="13" t="s">
        <v>73</v>
      </c>
      <c r="B26" s="47">
        <v>74.8</v>
      </c>
      <c r="C26" s="15">
        <v>76.8</v>
      </c>
      <c r="D26" s="15"/>
      <c r="E26" s="15"/>
      <c r="F26" s="15"/>
      <c r="G26" s="15">
        <v>77.7</v>
      </c>
      <c r="H26" s="15">
        <v>76.2</v>
      </c>
      <c r="I26" s="15"/>
      <c r="J26" s="13">
        <v>75.9</v>
      </c>
      <c r="K26" s="13">
        <v>75.9</v>
      </c>
      <c r="L26" s="55">
        <v>77.0</v>
      </c>
      <c r="M26" s="13">
        <v>75.7</v>
      </c>
      <c r="N26" s="13">
        <v>75.6</v>
      </c>
      <c r="O26" s="18">
        <v>74.7</v>
      </c>
      <c r="P26" s="18">
        <v>75.5</v>
      </c>
      <c r="Q26" s="24">
        <v>75.4</v>
      </c>
      <c r="R26" s="17">
        <v>75.5</v>
      </c>
      <c r="S26" s="18">
        <v>76.4</v>
      </c>
      <c r="T26" s="18"/>
      <c r="U26" s="18">
        <v>76.8</v>
      </c>
      <c r="V26" s="15">
        <v>75.6</v>
      </c>
      <c r="W26" s="15">
        <v>75.7</v>
      </c>
      <c r="X26" s="15">
        <v>76.0</v>
      </c>
      <c r="Y26" s="15">
        <v>76.8</v>
      </c>
      <c r="Z26" s="15">
        <v>75.1</v>
      </c>
      <c r="AA26" s="18">
        <v>76.0</v>
      </c>
      <c r="AB26" s="18">
        <v>75.9</v>
      </c>
      <c r="AC26" s="18">
        <v>75.9</v>
      </c>
      <c r="AD26" s="20" t="s">
        <v>74</v>
      </c>
      <c r="AE26" s="21">
        <f t="shared" si="1"/>
        <v>0</v>
      </c>
      <c r="AF26" s="21">
        <f t="shared" si="6"/>
        <v>1.2</v>
      </c>
      <c r="AH26" s="31" t="s">
        <v>75</v>
      </c>
    </row>
    <row r="27" ht="15.75" customHeight="1">
      <c r="A27" s="13" t="s">
        <v>76</v>
      </c>
      <c r="B27" s="47"/>
      <c r="C27" s="15">
        <v>67.5</v>
      </c>
      <c r="D27" s="15">
        <v>67.5</v>
      </c>
      <c r="E27" s="15"/>
      <c r="F27" s="15"/>
      <c r="G27" s="15"/>
      <c r="H27" s="15"/>
      <c r="I27" s="15"/>
      <c r="J27" s="13"/>
      <c r="K27" s="13"/>
      <c r="L27" s="13"/>
      <c r="M27" s="13"/>
      <c r="N27" s="13"/>
      <c r="O27" s="24"/>
      <c r="P27" s="18" t="s">
        <v>48</v>
      </c>
      <c r="Q27" s="24"/>
      <c r="R27" s="15"/>
      <c r="S27" s="28"/>
      <c r="T27" s="28"/>
      <c r="U27" s="18"/>
      <c r="V27" s="15"/>
      <c r="W27" s="15" t="s">
        <v>23</v>
      </c>
      <c r="X27" s="15"/>
      <c r="Y27" s="15"/>
      <c r="Z27" s="15"/>
      <c r="AA27" s="24"/>
      <c r="AB27" s="24"/>
      <c r="AC27" s="24"/>
      <c r="AD27" s="52" t="s">
        <v>9</v>
      </c>
      <c r="AE27" s="21">
        <f t="shared" si="1"/>
        <v>0</v>
      </c>
      <c r="AF27" s="21">
        <f>AA27-C27</f>
        <v>-67.5</v>
      </c>
    </row>
    <row r="28" ht="15.75" customHeight="1">
      <c r="A28" s="13" t="s">
        <v>77</v>
      </c>
      <c r="E28" s="15">
        <v>68.1</v>
      </c>
      <c r="F28" s="15">
        <v>67.8</v>
      </c>
      <c r="G28" s="15">
        <v>68.1</v>
      </c>
      <c r="H28" s="15">
        <v>68.1</v>
      </c>
      <c r="I28" s="15">
        <v>68.3</v>
      </c>
      <c r="J28" s="13">
        <v>67.9</v>
      </c>
      <c r="K28" s="13">
        <v>69.1</v>
      </c>
      <c r="L28" s="13">
        <v>69.3</v>
      </c>
      <c r="M28" s="13">
        <v>68.7</v>
      </c>
      <c r="N28" s="13">
        <v>68.5</v>
      </c>
      <c r="O28" s="24">
        <v>69.4</v>
      </c>
      <c r="P28" s="28">
        <v>69.5</v>
      </c>
      <c r="Q28" s="24">
        <v>69.1</v>
      </c>
      <c r="R28" s="15">
        <v>68.6</v>
      </c>
      <c r="S28" s="28">
        <v>68.9</v>
      </c>
      <c r="T28" s="28"/>
      <c r="U28" s="18">
        <v>69.9</v>
      </c>
      <c r="V28" s="15" t="s">
        <v>78</v>
      </c>
      <c r="W28" s="15">
        <v>71.0</v>
      </c>
      <c r="X28" s="15"/>
      <c r="Y28" s="15">
        <v>70.0</v>
      </c>
      <c r="Z28" s="15">
        <v>70.4</v>
      </c>
      <c r="AA28" s="50">
        <v>70.7</v>
      </c>
      <c r="AB28" s="50">
        <v>70.6</v>
      </c>
      <c r="AC28" s="50">
        <v>71.4</v>
      </c>
      <c r="AD28" s="51" t="s">
        <v>14</v>
      </c>
      <c r="AE28" s="21">
        <f t="shared" si="1"/>
        <v>0.8</v>
      </c>
      <c r="AF28" s="21">
        <f>AA28-E28</f>
        <v>2.6</v>
      </c>
    </row>
    <row r="29" ht="15.75" customHeight="1">
      <c r="A29" s="13" t="s">
        <v>79</v>
      </c>
      <c r="B29" s="47">
        <v>83.9</v>
      </c>
      <c r="C29" s="15">
        <v>81.8</v>
      </c>
      <c r="D29" s="15">
        <v>80.7</v>
      </c>
      <c r="E29" s="15"/>
      <c r="F29" s="15">
        <v>82.2</v>
      </c>
      <c r="G29" s="13">
        <v>82.3</v>
      </c>
      <c r="H29" s="15">
        <v>84.1</v>
      </c>
      <c r="I29" s="15">
        <v>83.9</v>
      </c>
      <c r="J29" s="13">
        <v>83.4</v>
      </c>
      <c r="K29" s="13">
        <v>83.3</v>
      </c>
      <c r="L29" s="13">
        <v>85.6</v>
      </c>
      <c r="M29" s="13">
        <v>84.0</v>
      </c>
      <c r="N29" s="13">
        <v>85.5</v>
      </c>
      <c r="O29" s="18">
        <v>84.4</v>
      </c>
      <c r="P29" s="18">
        <v>83.4</v>
      </c>
      <c r="Q29" s="56">
        <v>85.0</v>
      </c>
      <c r="R29" s="17">
        <v>86.5</v>
      </c>
      <c r="S29" s="18">
        <v>85.3</v>
      </c>
      <c r="T29" s="18"/>
      <c r="U29" s="18">
        <v>86.2</v>
      </c>
      <c r="V29" s="15">
        <v>85.8</v>
      </c>
      <c r="W29" s="15">
        <v>85.2</v>
      </c>
      <c r="X29" s="15">
        <v>85.7</v>
      </c>
      <c r="Y29" s="15">
        <v>85.2</v>
      </c>
      <c r="Z29" s="15">
        <v>86.0</v>
      </c>
      <c r="AA29" s="18">
        <v>86.4</v>
      </c>
      <c r="AB29" s="18">
        <v>87.0</v>
      </c>
      <c r="AC29" s="18">
        <v>86.2</v>
      </c>
      <c r="AD29" s="20" t="s">
        <v>7</v>
      </c>
      <c r="AE29" s="21">
        <f t="shared" si="1"/>
        <v>-0.8</v>
      </c>
      <c r="AF29" s="21">
        <f t="shared" ref="AF29:AF34" si="7">AA29-B29</f>
        <v>2.5</v>
      </c>
    </row>
    <row r="30" ht="15.75" customHeight="1">
      <c r="A30" s="13" t="s">
        <v>80</v>
      </c>
      <c r="B30" s="47">
        <v>65.7</v>
      </c>
      <c r="C30" s="15">
        <v>67.8</v>
      </c>
      <c r="D30" s="15">
        <v>67.2</v>
      </c>
      <c r="E30" s="15">
        <v>64.6</v>
      </c>
      <c r="F30" s="15">
        <v>64.4</v>
      </c>
      <c r="G30" s="15">
        <v>65.3</v>
      </c>
      <c r="H30" s="15"/>
      <c r="I30" s="15">
        <v>65.1</v>
      </c>
      <c r="J30" s="13">
        <v>64.8</v>
      </c>
      <c r="K30" s="13">
        <v>65.9</v>
      </c>
      <c r="L30" s="13">
        <v>64.8</v>
      </c>
      <c r="M30" s="13">
        <v>64.7</v>
      </c>
      <c r="N30" s="13">
        <v>65.7</v>
      </c>
      <c r="O30" s="18">
        <v>65.4</v>
      </c>
      <c r="P30" s="18">
        <v>65.3</v>
      </c>
      <c r="Q30" s="24">
        <v>64.4</v>
      </c>
      <c r="R30" s="17">
        <v>64.5</v>
      </c>
      <c r="S30" s="18">
        <v>65.0</v>
      </c>
      <c r="T30" s="18"/>
      <c r="U30" s="18"/>
      <c r="V30" s="15"/>
      <c r="W30" s="15"/>
      <c r="X30" s="15">
        <v>66.6</v>
      </c>
      <c r="Y30" s="15"/>
      <c r="Z30" s="15">
        <v>66.9</v>
      </c>
      <c r="AA30" s="18"/>
      <c r="AB30" s="18"/>
      <c r="AC30" s="18"/>
      <c r="AD30" s="20" t="s">
        <v>7</v>
      </c>
      <c r="AE30" s="21">
        <f t="shared" si="1"/>
        <v>0</v>
      </c>
      <c r="AF30" s="21">
        <f t="shared" si="7"/>
        <v>-65.7</v>
      </c>
    </row>
    <row r="31" ht="15.75" customHeight="1">
      <c r="A31" s="13" t="s">
        <v>81</v>
      </c>
      <c r="B31" s="47">
        <v>80.1</v>
      </c>
      <c r="C31" s="15">
        <v>78.3</v>
      </c>
      <c r="D31" s="15">
        <v>78.9</v>
      </c>
      <c r="E31" s="15"/>
      <c r="F31" s="15"/>
      <c r="G31" s="15">
        <v>81.9</v>
      </c>
      <c r="H31" s="15">
        <v>81.3</v>
      </c>
      <c r="I31" s="15">
        <v>82.0</v>
      </c>
      <c r="J31" s="13">
        <v>82.2</v>
      </c>
      <c r="K31" s="13">
        <v>83.1</v>
      </c>
      <c r="L31" s="13">
        <v>84.4</v>
      </c>
      <c r="M31" s="13">
        <v>82.6</v>
      </c>
      <c r="N31" s="13">
        <v>83.4</v>
      </c>
      <c r="O31" s="18">
        <v>85.3</v>
      </c>
      <c r="P31" s="18">
        <v>85.2</v>
      </c>
      <c r="Q31" s="24">
        <v>85.2</v>
      </c>
      <c r="R31" s="17"/>
      <c r="S31" s="18"/>
      <c r="T31" s="18">
        <v>83.5</v>
      </c>
      <c r="U31" s="18">
        <v>85.2</v>
      </c>
      <c r="V31" s="15" t="s">
        <v>82</v>
      </c>
      <c r="W31" s="15"/>
      <c r="X31" s="15">
        <v>84.7</v>
      </c>
      <c r="Y31" s="15">
        <v>83.7</v>
      </c>
      <c r="Z31" s="15">
        <v>85.0</v>
      </c>
      <c r="AA31" s="18">
        <v>84.1</v>
      </c>
      <c r="AB31" s="18">
        <v>86.3</v>
      </c>
      <c r="AC31" s="18">
        <v>85.3</v>
      </c>
      <c r="AD31" s="20" t="s">
        <v>83</v>
      </c>
      <c r="AE31" s="21">
        <f t="shared" si="1"/>
        <v>-1</v>
      </c>
      <c r="AF31" s="21">
        <f t="shared" si="7"/>
        <v>4</v>
      </c>
    </row>
    <row r="32" ht="15.75" customHeight="1">
      <c r="A32" s="13" t="s">
        <v>84</v>
      </c>
      <c r="B32" s="47">
        <v>63.2</v>
      </c>
      <c r="C32" s="15"/>
      <c r="D32" s="15">
        <v>65.4</v>
      </c>
      <c r="E32" s="15"/>
      <c r="F32" s="15">
        <v>64.6</v>
      </c>
      <c r="G32" s="15">
        <v>64.9</v>
      </c>
      <c r="H32" s="15"/>
      <c r="I32" s="15"/>
      <c r="J32" s="13">
        <v>66.1</v>
      </c>
      <c r="K32" s="13">
        <v>67.4</v>
      </c>
      <c r="L32" s="13">
        <v>66.7</v>
      </c>
      <c r="M32" s="13">
        <v>65.1</v>
      </c>
      <c r="N32" s="13">
        <v>66.2</v>
      </c>
      <c r="O32" s="24">
        <v>67.8</v>
      </c>
      <c r="P32" s="28">
        <v>67.8</v>
      </c>
      <c r="Q32" s="24">
        <v>68.4</v>
      </c>
      <c r="R32" s="15">
        <v>68.6</v>
      </c>
      <c r="S32" s="28">
        <v>68.7</v>
      </c>
      <c r="T32" s="28"/>
      <c r="U32" s="18"/>
      <c r="V32" s="15"/>
      <c r="W32" s="15" t="s">
        <v>85</v>
      </c>
      <c r="X32" s="15"/>
      <c r="Y32" s="15" t="s">
        <v>86</v>
      </c>
      <c r="Z32" s="15"/>
      <c r="AA32" s="24"/>
      <c r="AB32" s="24"/>
      <c r="AC32" s="24"/>
      <c r="AD32" s="52" t="s">
        <v>9</v>
      </c>
      <c r="AE32" s="21">
        <f t="shared" si="1"/>
        <v>0</v>
      </c>
      <c r="AF32" s="21">
        <f t="shared" si="7"/>
        <v>-63.2</v>
      </c>
    </row>
    <row r="33" ht="15.75" customHeight="1">
      <c r="A33" s="13" t="s">
        <v>87</v>
      </c>
      <c r="B33" s="47">
        <v>74.5</v>
      </c>
      <c r="C33" s="15">
        <v>76.5</v>
      </c>
      <c r="D33" s="15">
        <v>76.2</v>
      </c>
      <c r="E33" s="15">
        <v>74.5</v>
      </c>
      <c r="F33" s="15">
        <v>74.6</v>
      </c>
      <c r="G33" s="15">
        <v>75.1</v>
      </c>
      <c r="H33" s="15">
        <v>75.7</v>
      </c>
      <c r="I33" s="15">
        <v>75.7</v>
      </c>
      <c r="J33" s="13">
        <v>76.4</v>
      </c>
      <c r="K33" s="13">
        <v>75.4</v>
      </c>
      <c r="L33" s="13">
        <v>76.5</v>
      </c>
      <c r="M33" s="13">
        <v>75.4</v>
      </c>
      <c r="N33" s="13">
        <v>76.0</v>
      </c>
      <c r="O33" s="24">
        <v>75.2</v>
      </c>
      <c r="P33" s="28">
        <v>76.0</v>
      </c>
      <c r="Q33" s="24">
        <v>76.6</v>
      </c>
      <c r="R33" s="15">
        <v>77.0</v>
      </c>
      <c r="S33" s="28">
        <v>77.6</v>
      </c>
      <c r="T33" s="28"/>
      <c r="U33" s="18"/>
      <c r="V33" s="15">
        <v>76.0</v>
      </c>
      <c r="W33" s="15">
        <v>76.8</v>
      </c>
      <c r="X33" s="15">
        <v>78.8</v>
      </c>
      <c r="Y33" s="15">
        <v>77.3</v>
      </c>
      <c r="Z33" s="15">
        <v>77.4</v>
      </c>
      <c r="AA33" s="18">
        <v>77.3</v>
      </c>
      <c r="AB33" s="18">
        <v>77.8</v>
      </c>
      <c r="AC33" s="18">
        <v>77.4</v>
      </c>
      <c r="AD33" s="20" t="s">
        <v>7</v>
      </c>
      <c r="AE33" s="21">
        <f t="shared" si="1"/>
        <v>-0.4</v>
      </c>
      <c r="AF33" s="21">
        <f t="shared" si="7"/>
        <v>2.8</v>
      </c>
    </row>
    <row r="34" ht="15.75" customHeight="1">
      <c r="A34" s="57" t="s">
        <v>88</v>
      </c>
      <c r="B34" s="47"/>
      <c r="C34" s="15"/>
      <c r="D34" s="15"/>
      <c r="E34" s="15"/>
      <c r="F34" s="15">
        <v>64.9</v>
      </c>
      <c r="G34" s="13"/>
      <c r="H34" s="13"/>
      <c r="I34" s="13"/>
      <c r="J34" s="13"/>
      <c r="K34" s="13"/>
      <c r="L34" s="13"/>
      <c r="M34" s="13"/>
      <c r="N34" s="13"/>
      <c r="O34" s="24"/>
      <c r="P34" s="18" t="s">
        <v>48</v>
      </c>
      <c r="Q34" s="24"/>
      <c r="R34" s="15"/>
      <c r="S34" s="28"/>
      <c r="T34" s="28"/>
      <c r="U34" s="18"/>
      <c r="V34" s="15"/>
      <c r="W34" s="15" t="s">
        <v>23</v>
      </c>
      <c r="X34" s="15"/>
      <c r="Y34" s="15"/>
      <c r="Z34" s="15"/>
      <c r="AA34" s="24"/>
      <c r="AB34" s="24"/>
      <c r="AC34" s="24"/>
      <c r="AD34" s="52" t="s">
        <v>9</v>
      </c>
      <c r="AE34" s="21">
        <f t="shared" si="1"/>
        <v>0</v>
      </c>
      <c r="AF34" s="21">
        <f t="shared" si="7"/>
        <v>0</v>
      </c>
    </row>
    <row r="35" ht="15.75" customHeight="1">
      <c r="A35" s="13" t="s">
        <v>89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>
        <v>82.6</v>
      </c>
      <c r="T35" s="13"/>
      <c r="U35" s="13"/>
      <c r="V35" s="15"/>
      <c r="W35" s="15" t="s">
        <v>23</v>
      </c>
      <c r="X35" s="15"/>
      <c r="Y35" s="15"/>
      <c r="Z35" s="15"/>
      <c r="AA35" s="24"/>
      <c r="AB35" s="24"/>
      <c r="AC35" s="24"/>
      <c r="AD35" s="52" t="s">
        <v>9</v>
      </c>
      <c r="AE35" s="21">
        <f t="shared" si="1"/>
        <v>0</v>
      </c>
      <c r="AF35" s="21">
        <f>AA35-S35</f>
        <v>-82.6</v>
      </c>
    </row>
    <row r="36" ht="15.75" customHeight="1">
      <c r="A36" s="13" t="s">
        <v>90</v>
      </c>
      <c r="B36" s="13"/>
      <c r="C36" s="13"/>
      <c r="D36" s="13"/>
      <c r="E36" s="13"/>
      <c r="F36" s="15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>
        <v>78.2</v>
      </c>
      <c r="V36" s="15">
        <v>78.2</v>
      </c>
      <c r="W36" s="15">
        <v>77.5</v>
      </c>
      <c r="X36" s="15">
        <v>78.7</v>
      </c>
      <c r="Y36" s="15">
        <v>79.1</v>
      </c>
      <c r="Z36" s="15">
        <v>78.8</v>
      </c>
      <c r="AA36" s="18">
        <v>78.5</v>
      </c>
      <c r="AB36" s="18">
        <v>79.6</v>
      </c>
      <c r="AC36" s="18">
        <v>79.8</v>
      </c>
      <c r="AD36" s="20" t="s">
        <v>7</v>
      </c>
      <c r="AE36" s="21">
        <f t="shared" si="1"/>
        <v>0.2</v>
      </c>
      <c r="AF36" s="21">
        <f>AA36-U36</f>
        <v>0.3</v>
      </c>
    </row>
    <row r="37" ht="15.75" customHeight="1">
      <c r="A37" s="58" t="s">
        <v>91</v>
      </c>
      <c r="F37" s="37"/>
      <c r="X37" s="37"/>
      <c r="Y37" s="37"/>
      <c r="Z37" s="37"/>
      <c r="AA37" s="37"/>
      <c r="AB37" s="37"/>
      <c r="AC37" s="37"/>
      <c r="AD37" s="37"/>
    </row>
    <row r="38" ht="15.75" customHeight="1">
      <c r="F38" s="37"/>
    </row>
    <row r="39" ht="15.75" customHeight="1">
      <c r="F39" s="37"/>
    </row>
    <row r="40" ht="15.75" customHeight="1">
      <c r="A40" s="13" t="s">
        <v>92</v>
      </c>
      <c r="B40" s="59">
        <v>64.7</v>
      </c>
      <c r="C40" s="60">
        <v>64.4</v>
      </c>
      <c r="D40" s="60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0">
        <f t="shared" ref="AE40:AE41" si="8">K40-D40</f>
        <v>0</v>
      </c>
    </row>
    <row r="41" ht="15.75" customHeight="1">
      <c r="A41" s="13" t="s">
        <v>93</v>
      </c>
      <c r="B41" s="59">
        <v>66.4</v>
      </c>
      <c r="C41" s="60">
        <v>65.4</v>
      </c>
      <c r="D41" s="60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0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0">
        <f t="shared" si="8"/>
        <v>0</v>
      </c>
    </row>
    <row r="42" ht="15.75" customHeight="1">
      <c r="A42" s="61" t="s">
        <v>94</v>
      </c>
      <c r="B42" s="59">
        <v>71.3</v>
      </c>
      <c r="C42" s="60">
        <v>71.5</v>
      </c>
      <c r="D42" s="60">
        <v>71.6</v>
      </c>
      <c r="E42" s="60">
        <v>70.8</v>
      </c>
      <c r="F42" s="60"/>
      <c r="G42" s="60">
        <v>73.4</v>
      </c>
      <c r="H42" s="60">
        <v>74.2</v>
      </c>
      <c r="I42" s="60"/>
      <c r="J42" s="61">
        <v>75.3</v>
      </c>
      <c r="K42" s="61">
        <v>75.1</v>
      </c>
      <c r="L42" s="61">
        <v>75.3</v>
      </c>
      <c r="M42" s="61">
        <v>76.2</v>
      </c>
      <c r="N42" s="61">
        <v>77.2</v>
      </c>
      <c r="O42" s="62">
        <v>77.6</v>
      </c>
      <c r="P42" s="62">
        <v>77.7</v>
      </c>
      <c r="Q42" s="60">
        <v>78.2</v>
      </c>
      <c r="R42" s="62">
        <v>78.7</v>
      </c>
      <c r="S42" s="62">
        <v>78.6</v>
      </c>
      <c r="T42" s="62"/>
      <c r="U42" s="62" t="s">
        <v>95</v>
      </c>
      <c r="V42" s="15"/>
      <c r="W42" s="15"/>
      <c r="X42" s="62"/>
      <c r="Y42" s="62"/>
      <c r="Z42" s="62"/>
      <c r="AA42" s="62"/>
      <c r="AB42" s="62"/>
      <c r="AC42" s="62"/>
      <c r="AD42" s="62" t="s">
        <v>14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AS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0.38"/>
    <col customWidth="1" min="2" max="2" width="7.0"/>
    <col customWidth="1" min="3" max="3" width="6.63"/>
    <col customWidth="1" min="4" max="4" width="6.88"/>
    <col customWidth="1" min="5" max="5" width="7.38"/>
    <col customWidth="1" min="6" max="6" width="7.25"/>
    <col customWidth="1" min="7" max="7" width="7.75"/>
    <col customWidth="1" min="8" max="8" width="7.88"/>
    <col customWidth="1" min="9" max="9" width="8.0"/>
    <col customWidth="1" min="10" max="13" width="6.0"/>
    <col customWidth="1" min="14" max="14" width="7.25"/>
    <col customWidth="1" min="15" max="15" width="6.25"/>
    <col customWidth="1" min="16" max="17" width="6.0"/>
    <col customWidth="1" min="18" max="20" width="7.25"/>
    <col customWidth="1" min="21" max="21" width="7.13"/>
    <col customWidth="1" min="22" max="23" width="7.75"/>
    <col customWidth="1" min="24" max="26" width="7.5"/>
    <col customWidth="1" min="27" max="28" width="8.38"/>
    <col customWidth="1" min="29" max="29" width="7.63"/>
    <col customWidth="1" min="30" max="30" width="21.25"/>
  </cols>
  <sheetData>
    <row r="1" ht="15.75" customHeight="1">
      <c r="A1" s="39" t="s">
        <v>96</v>
      </c>
      <c r="B1" s="6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2"/>
      <c r="AU1" s="42"/>
      <c r="AV1" s="42"/>
    </row>
    <row r="2" ht="15.75" customHeight="1">
      <c r="A2" s="1" t="s">
        <v>0</v>
      </c>
      <c r="B2" s="3">
        <v>2024.0</v>
      </c>
      <c r="C2" s="4">
        <v>45679.0</v>
      </c>
      <c r="D2" s="4">
        <v>45686.0</v>
      </c>
      <c r="E2" s="4">
        <v>45693.0</v>
      </c>
      <c r="F2" s="5">
        <v>45728.0</v>
      </c>
      <c r="G2" s="5">
        <v>45735.0</v>
      </c>
      <c r="H2" s="5">
        <v>45749.0</v>
      </c>
      <c r="I2" s="6">
        <v>45756.0</v>
      </c>
      <c r="J2" s="6">
        <v>45763.0</v>
      </c>
      <c r="K2" s="6">
        <v>45770.0</v>
      </c>
      <c r="L2" s="6">
        <v>45777.0</v>
      </c>
      <c r="M2" s="7">
        <v>45784.0</v>
      </c>
      <c r="N2" s="7">
        <v>45791.0</v>
      </c>
      <c r="O2" s="7">
        <v>45798.0</v>
      </c>
      <c r="P2" s="7">
        <v>45805.0</v>
      </c>
      <c r="Q2" s="8">
        <v>45812.0</v>
      </c>
      <c r="R2" s="7">
        <v>45819.0</v>
      </c>
      <c r="S2" s="7">
        <v>45826.0</v>
      </c>
      <c r="T2" s="7">
        <v>45849.0</v>
      </c>
      <c r="U2" s="7">
        <v>45861.0</v>
      </c>
      <c r="V2" s="7">
        <v>45868.0</v>
      </c>
      <c r="W2" s="64">
        <v>45875.0</v>
      </c>
      <c r="X2" s="64">
        <v>45882.0</v>
      </c>
      <c r="Y2" s="7">
        <v>45889.0</v>
      </c>
      <c r="Z2" s="7">
        <v>45896.0</v>
      </c>
      <c r="AA2" s="7">
        <v>45903.0</v>
      </c>
      <c r="AB2" s="7">
        <v>45910.0</v>
      </c>
      <c r="AC2" s="64">
        <v>45917.0</v>
      </c>
      <c r="AD2" s="9" t="s">
        <v>2</v>
      </c>
      <c r="AE2" s="9" t="s">
        <v>3</v>
      </c>
      <c r="AF2" s="9" t="s">
        <v>4</v>
      </c>
      <c r="AG2" s="10"/>
      <c r="AH2" s="11"/>
      <c r="AI2" s="11"/>
      <c r="AJ2" s="12"/>
      <c r="AK2" s="11"/>
      <c r="AL2" s="11"/>
      <c r="AM2" s="11"/>
      <c r="AN2" s="11"/>
      <c r="AO2" s="12"/>
      <c r="AP2" s="12"/>
      <c r="AQ2" s="11"/>
      <c r="AR2" s="11"/>
      <c r="AS2" s="12"/>
      <c r="AT2" s="11"/>
      <c r="AU2" s="11"/>
      <c r="AV2" s="11"/>
    </row>
    <row r="3" ht="15.75" customHeight="1">
      <c r="A3" s="13" t="s">
        <v>97</v>
      </c>
      <c r="B3" s="65">
        <v>78.9</v>
      </c>
      <c r="C3" s="65"/>
      <c r="D3" s="65"/>
      <c r="E3" s="65">
        <v>78.9</v>
      </c>
      <c r="F3" s="65">
        <v>78.9</v>
      </c>
      <c r="G3" s="66">
        <v>79.7</v>
      </c>
      <c r="H3" s="65"/>
      <c r="I3" s="65">
        <v>79.2</v>
      </c>
      <c r="J3" s="57"/>
      <c r="K3" s="65"/>
      <c r="L3" s="37"/>
      <c r="M3" s="65"/>
      <c r="N3" s="65"/>
      <c r="O3" s="32"/>
      <c r="P3" s="29"/>
      <c r="Q3" s="67"/>
      <c r="R3" s="37">
        <v>76.8</v>
      </c>
      <c r="S3" s="65"/>
      <c r="T3" s="37"/>
      <c r="U3" s="65"/>
      <c r="V3" s="68"/>
      <c r="W3" s="15"/>
      <c r="X3" s="68"/>
      <c r="Y3" s="68"/>
      <c r="Z3" s="68"/>
      <c r="AA3" s="69">
        <v>77.6</v>
      </c>
      <c r="AB3" s="70">
        <v>78.3</v>
      </c>
      <c r="AC3" s="68"/>
      <c r="AD3" s="71"/>
      <c r="AE3" s="21">
        <f t="shared" ref="AE3:AE36" si="1">AC3-AB3</f>
        <v>-78.3</v>
      </c>
      <c r="AF3" s="21">
        <f t="shared" ref="AF3:AF4" si="2">AA3-B3</f>
        <v>-1.3</v>
      </c>
    </row>
    <row r="4" ht="15.75" customHeight="1">
      <c r="A4" s="72" t="s">
        <v>98</v>
      </c>
      <c r="B4" s="15">
        <v>77.5</v>
      </c>
      <c r="C4" s="15">
        <v>77.4</v>
      </c>
      <c r="D4" s="15"/>
      <c r="E4" s="15">
        <v>75.6</v>
      </c>
      <c r="F4" s="15">
        <v>76.6</v>
      </c>
      <c r="G4" s="73">
        <v>76.0</v>
      </c>
      <c r="H4" s="15">
        <v>76.6</v>
      </c>
      <c r="I4" s="15">
        <v>76.6</v>
      </c>
      <c r="J4" s="13"/>
      <c r="K4" s="15">
        <v>77.1</v>
      </c>
      <c r="L4" s="15">
        <v>77.5</v>
      </c>
      <c r="M4" s="15"/>
      <c r="N4" s="15">
        <v>78.2</v>
      </c>
      <c r="O4" s="18"/>
      <c r="P4" s="18"/>
      <c r="Q4" s="18">
        <v>78.2</v>
      </c>
      <c r="R4" s="17">
        <v>77.9</v>
      </c>
      <c r="S4" s="15">
        <v>78.5</v>
      </c>
      <c r="T4" s="15">
        <v>78.5</v>
      </c>
      <c r="U4" s="15">
        <v>78.6</v>
      </c>
      <c r="V4" s="15">
        <v>78.8</v>
      </c>
      <c r="W4" s="15">
        <v>77.3</v>
      </c>
      <c r="X4" s="15"/>
      <c r="Y4" s="15">
        <v>79.4</v>
      </c>
      <c r="Z4" s="15">
        <v>77.7</v>
      </c>
      <c r="AA4" s="18">
        <v>78.4</v>
      </c>
      <c r="AB4" s="17">
        <v>78.4</v>
      </c>
      <c r="AC4" s="15">
        <v>78.6</v>
      </c>
      <c r="AD4" s="74" t="s">
        <v>7</v>
      </c>
      <c r="AE4" s="21">
        <f t="shared" si="1"/>
        <v>0.2</v>
      </c>
      <c r="AF4" s="21">
        <f t="shared" si="2"/>
        <v>0.9</v>
      </c>
    </row>
    <row r="5" ht="15.75" customHeight="1">
      <c r="A5" s="75" t="s">
        <v>99</v>
      </c>
      <c r="B5" s="15"/>
      <c r="C5" s="15">
        <v>62.3</v>
      </c>
      <c r="D5" s="15">
        <v>62.5</v>
      </c>
      <c r="E5" s="15">
        <v>63.3</v>
      </c>
      <c r="F5" s="15">
        <v>68.3</v>
      </c>
      <c r="G5" s="73">
        <v>63.3</v>
      </c>
      <c r="H5" s="15">
        <v>63.1</v>
      </c>
      <c r="I5" s="15">
        <v>63.4</v>
      </c>
      <c r="J5" s="13"/>
      <c r="K5" s="15">
        <v>62.6</v>
      </c>
      <c r="L5" s="53">
        <v>63.0</v>
      </c>
      <c r="M5" s="15">
        <v>64.3</v>
      </c>
      <c r="N5" s="15">
        <v>64.0</v>
      </c>
      <c r="O5" s="18">
        <v>64.1</v>
      </c>
      <c r="P5" s="18">
        <v>64.4</v>
      </c>
      <c r="Q5" s="18">
        <v>65.1</v>
      </c>
      <c r="R5" s="17">
        <v>65.7</v>
      </c>
      <c r="S5" s="15">
        <v>65.4</v>
      </c>
      <c r="T5" s="15">
        <v>66.4</v>
      </c>
      <c r="U5" s="15">
        <v>65.9</v>
      </c>
      <c r="V5" s="15" t="s">
        <v>100</v>
      </c>
      <c r="W5" s="15">
        <v>65.5</v>
      </c>
      <c r="X5" s="15"/>
      <c r="Y5" s="15">
        <v>65.6</v>
      </c>
      <c r="Z5" s="15">
        <v>66.9</v>
      </c>
      <c r="AA5" s="18">
        <v>65.9</v>
      </c>
      <c r="AB5" s="17">
        <v>66.3</v>
      </c>
      <c r="AC5" s="15">
        <v>65.3</v>
      </c>
      <c r="AD5" s="74" t="s">
        <v>17</v>
      </c>
      <c r="AE5" s="21">
        <f t="shared" si="1"/>
        <v>-1</v>
      </c>
      <c r="AF5" s="21">
        <f t="shared" ref="AF5:AF6" si="3">AA5-C5</f>
        <v>3.6</v>
      </c>
    </row>
    <row r="6" ht="15.75" customHeight="1">
      <c r="A6" s="75" t="s">
        <v>101</v>
      </c>
      <c r="B6" s="15"/>
      <c r="C6" s="15">
        <v>77.6</v>
      </c>
      <c r="D6" s="15">
        <v>76.9</v>
      </c>
      <c r="E6" s="15">
        <v>76.4</v>
      </c>
      <c r="F6" s="15">
        <v>76.6</v>
      </c>
      <c r="G6" s="73">
        <v>76.6</v>
      </c>
      <c r="H6" s="15">
        <v>76.2</v>
      </c>
      <c r="I6" s="15">
        <v>76.4</v>
      </c>
      <c r="J6" s="13"/>
      <c r="K6" s="15">
        <v>76.1</v>
      </c>
      <c r="L6" s="15">
        <v>76.6</v>
      </c>
      <c r="M6" s="15">
        <v>76.0</v>
      </c>
      <c r="N6" s="15">
        <v>76.3</v>
      </c>
      <c r="O6" s="18">
        <v>77.6</v>
      </c>
      <c r="P6" s="18">
        <v>76.8</v>
      </c>
      <c r="Q6" s="18">
        <v>78.0</v>
      </c>
      <c r="R6" s="17">
        <v>77.5</v>
      </c>
      <c r="S6" s="15">
        <v>77.3</v>
      </c>
      <c r="T6" s="15">
        <v>77.4</v>
      </c>
      <c r="U6" s="15">
        <v>78.4</v>
      </c>
      <c r="V6" s="15">
        <v>77.4</v>
      </c>
      <c r="W6" s="15">
        <v>77.3</v>
      </c>
      <c r="X6" s="15"/>
      <c r="Y6" s="15">
        <v>77.2</v>
      </c>
      <c r="Z6" s="15">
        <v>77.9</v>
      </c>
      <c r="AA6" s="18">
        <v>77.0</v>
      </c>
      <c r="AB6" s="17">
        <v>78.6</v>
      </c>
      <c r="AC6" s="15">
        <v>77.9</v>
      </c>
      <c r="AD6" s="74" t="s">
        <v>14</v>
      </c>
      <c r="AE6" s="21">
        <f t="shared" si="1"/>
        <v>-0.7</v>
      </c>
      <c r="AF6" s="21">
        <f t="shared" si="3"/>
        <v>-0.6</v>
      </c>
    </row>
    <row r="7" ht="15.75" customHeight="1">
      <c r="A7" s="75" t="s">
        <v>102</v>
      </c>
      <c r="B7" s="15">
        <v>71.0</v>
      </c>
      <c r="C7" s="15">
        <v>69.9</v>
      </c>
      <c r="D7" s="15">
        <v>70.5</v>
      </c>
      <c r="E7" s="15">
        <v>72.6</v>
      </c>
      <c r="F7" s="15">
        <v>72.1</v>
      </c>
      <c r="G7" s="73">
        <v>72.0</v>
      </c>
      <c r="H7" s="15">
        <v>72.0</v>
      </c>
      <c r="I7" s="15">
        <v>72.1</v>
      </c>
      <c r="J7" s="13"/>
      <c r="K7" s="15">
        <v>71.0</v>
      </c>
      <c r="L7" s="15">
        <v>70.9</v>
      </c>
      <c r="M7" s="15">
        <v>71.8</v>
      </c>
      <c r="N7" s="15">
        <v>71.9</v>
      </c>
      <c r="O7" s="18"/>
      <c r="P7" s="18"/>
      <c r="Q7" s="18">
        <v>71.9</v>
      </c>
      <c r="R7" s="17">
        <v>72.0</v>
      </c>
      <c r="S7" s="15">
        <v>71.6</v>
      </c>
      <c r="T7" s="15">
        <v>72.4</v>
      </c>
      <c r="U7" s="15">
        <v>71.0</v>
      </c>
      <c r="V7" s="15" t="s">
        <v>103</v>
      </c>
      <c r="W7" s="15">
        <v>72.3</v>
      </c>
      <c r="X7" s="15"/>
      <c r="Y7" s="15">
        <v>72.2</v>
      </c>
      <c r="Z7" s="15">
        <v>72.7</v>
      </c>
      <c r="AA7" s="18">
        <v>71.4</v>
      </c>
      <c r="AB7" s="17">
        <v>71.8</v>
      </c>
      <c r="AC7" s="15">
        <v>71.4</v>
      </c>
      <c r="AD7" s="76"/>
      <c r="AE7" s="21">
        <f t="shared" si="1"/>
        <v>-0.4</v>
      </c>
      <c r="AF7" s="21">
        <f t="shared" ref="AF7:AF11" si="4">AA7-B7</f>
        <v>0.4</v>
      </c>
    </row>
    <row r="8" ht="15.75" customHeight="1">
      <c r="A8" s="75" t="s">
        <v>104</v>
      </c>
      <c r="B8" s="15">
        <v>75.1</v>
      </c>
      <c r="C8" s="15">
        <v>74.8</v>
      </c>
      <c r="D8" s="15">
        <v>75.0</v>
      </c>
      <c r="E8" s="15">
        <v>75.6</v>
      </c>
      <c r="F8" s="15">
        <v>75.7</v>
      </c>
      <c r="G8" s="73">
        <v>75.2</v>
      </c>
      <c r="H8" s="15">
        <v>76.2</v>
      </c>
      <c r="I8" s="15">
        <v>76.4</v>
      </c>
      <c r="J8" s="13"/>
      <c r="K8" s="15">
        <v>76.0</v>
      </c>
      <c r="L8" s="15">
        <v>77.1</v>
      </c>
      <c r="M8" s="15">
        <v>77.1</v>
      </c>
      <c r="N8" s="15">
        <v>75.2</v>
      </c>
      <c r="O8" s="24">
        <v>75.4</v>
      </c>
      <c r="P8" s="28">
        <v>76.9</v>
      </c>
      <c r="Q8" s="18">
        <v>77.6</v>
      </c>
      <c r="R8" s="15">
        <v>77.6</v>
      </c>
      <c r="S8" s="15">
        <v>77.6</v>
      </c>
      <c r="T8" s="15">
        <v>78.0</v>
      </c>
      <c r="U8" s="15"/>
      <c r="V8" s="15">
        <v>78.1</v>
      </c>
      <c r="W8" s="15">
        <v>76.9</v>
      </c>
      <c r="X8" s="15"/>
      <c r="Y8" s="15">
        <v>77.9</v>
      </c>
      <c r="Z8" s="15">
        <v>78.0</v>
      </c>
      <c r="AA8" s="18">
        <v>77.5</v>
      </c>
      <c r="AB8" s="17">
        <v>77.8</v>
      </c>
      <c r="AC8" s="15">
        <v>76.9</v>
      </c>
      <c r="AD8" s="74" t="s">
        <v>14</v>
      </c>
      <c r="AE8" s="21">
        <f t="shared" si="1"/>
        <v>-0.9</v>
      </c>
      <c r="AF8" s="21">
        <f t="shared" si="4"/>
        <v>2.4</v>
      </c>
    </row>
    <row r="9" ht="15.75" customHeight="1">
      <c r="A9" s="72" t="s">
        <v>105</v>
      </c>
      <c r="B9" s="15">
        <v>76.3</v>
      </c>
      <c r="C9" s="15">
        <v>75.6</v>
      </c>
      <c r="D9" s="15">
        <v>73.5</v>
      </c>
      <c r="E9" s="15"/>
      <c r="F9" s="15"/>
      <c r="G9" s="22"/>
      <c r="H9" s="15"/>
      <c r="I9" s="15"/>
      <c r="J9" s="13"/>
      <c r="K9" s="15"/>
      <c r="L9" s="15"/>
      <c r="M9" s="15"/>
      <c r="N9" s="15"/>
      <c r="O9" s="18">
        <v>74.9</v>
      </c>
      <c r="P9" s="18">
        <v>76.4</v>
      </c>
      <c r="Q9" s="18">
        <v>77.5</v>
      </c>
      <c r="R9" s="17">
        <v>77.5</v>
      </c>
      <c r="S9" s="15">
        <v>77.4</v>
      </c>
      <c r="T9" s="15">
        <v>77.4</v>
      </c>
      <c r="U9" s="15">
        <v>77.4</v>
      </c>
      <c r="V9" s="15" t="s">
        <v>106</v>
      </c>
      <c r="W9" s="15">
        <v>78.7</v>
      </c>
      <c r="X9" s="15"/>
      <c r="Y9" s="15"/>
      <c r="Z9" s="15" t="s">
        <v>107</v>
      </c>
      <c r="AA9" s="18">
        <v>79.4</v>
      </c>
      <c r="AB9" s="17">
        <v>78.9</v>
      </c>
      <c r="AC9" s="15">
        <v>78.8</v>
      </c>
      <c r="AD9" s="74" t="s">
        <v>14</v>
      </c>
      <c r="AE9" s="21">
        <f t="shared" si="1"/>
        <v>-0.1</v>
      </c>
      <c r="AF9" s="21">
        <f t="shared" si="4"/>
        <v>3.1</v>
      </c>
    </row>
    <row r="10" ht="15.75" customHeight="1">
      <c r="A10" s="72" t="s">
        <v>108</v>
      </c>
      <c r="B10" s="15">
        <v>73.8</v>
      </c>
      <c r="C10" s="15"/>
      <c r="D10" s="15">
        <v>73.2</v>
      </c>
      <c r="E10" s="15"/>
      <c r="F10" s="15"/>
      <c r="G10" s="73">
        <v>70.6</v>
      </c>
      <c r="H10" s="15">
        <v>71.0</v>
      </c>
      <c r="I10" s="15"/>
      <c r="J10" s="13"/>
      <c r="K10" s="15">
        <v>71.1</v>
      </c>
      <c r="L10" s="15">
        <v>71.8</v>
      </c>
      <c r="M10" s="15"/>
      <c r="N10" s="15"/>
      <c r="O10" s="18"/>
      <c r="P10" s="18">
        <v>72.9</v>
      </c>
      <c r="Q10" s="18">
        <v>72.7</v>
      </c>
      <c r="R10" s="17">
        <v>72.6</v>
      </c>
      <c r="S10" s="15">
        <v>73.6</v>
      </c>
      <c r="T10" s="15">
        <v>73.5</v>
      </c>
      <c r="U10" s="15"/>
      <c r="V10" s="15">
        <v>73.0</v>
      </c>
      <c r="W10" s="15"/>
      <c r="X10" s="15"/>
      <c r="Y10" s="15">
        <v>74.7</v>
      </c>
      <c r="Z10" s="15">
        <v>73.8</v>
      </c>
      <c r="AA10" s="18">
        <v>74.4</v>
      </c>
      <c r="AB10" s="17">
        <v>74.3</v>
      </c>
      <c r="AC10" s="15">
        <v>74.7</v>
      </c>
      <c r="AD10" s="76"/>
      <c r="AE10" s="21">
        <f t="shared" si="1"/>
        <v>0.4</v>
      </c>
      <c r="AF10" s="21">
        <f t="shared" si="4"/>
        <v>0.6</v>
      </c>
    </row>
    <row r="11" ht="15.75" customHeight="1">
      <c r="A11" s="72" t="s">
        <v>109</v>
      </c>
      <c r="B11" s="15">
        <v>75.6</v>
      </c>
      <c r="C11" s="15">
        <v>74.8</v>
      </c>
      <c r="D11" s="15">
        <v>74.3</v>
      </c>
      <c r="E11" s="15"/>
      <c r="F11" s="15"/>
      <c r="G11" s="22"/>
      <c r="H11" s="15">
        <v>72.1</v>
      </c>
      <c r="I11" s="15"/>
      <c r="J11" s="13"/>
      <c r="K11" s="15"/>
      <c r="L11" s="15"/>
      <c r="M11" s="15"/>
      <c r="N11" s="15">
        <v>75.0</v>
      </c>
      <c r="O11" s="18"/>
      <c r="P11" s="18"/>
      <c r="Q11" s="18"/>
      <c r="R11" s="17">
        <v>74.4</v>
      </c>
      <c r="S11" s="15">
        <v>75.2</v>
      </c>
      <c r="T11" s="15">
        <v>76.8</v>
      </c>
      <c r="U11" s="15">
        <v>77.5</v>
      </c>
      <c r="V11" s="15">
        <v>77.0</v>
      </c>
      <c r="W11" s="15">
        <v>77.6</v>
      </c>
      <c r="X11" s="15"/>
      <c r="Y11" s="15">
        <v>77.3</v>
      </c>
      <c r="Z11" s="15">
        <v>78.0</v>
      </c>
      <c r="AA11" s="18">
        <v>78.8</v>
      </c>
      <c r="AB11" s="17">
        <v>77.0</v>
      </c>
      <c r="AC11" s="15">
        <v>77.6</v>
      </c>
      <c r="AD11" s="74" t="s">
        <v>7</v>
      </c>
      <c r="AE11" s="21">
        <f t="shared" si="1"/>
        <v>0.6</v>
      </c>
      <c r="AF11" s="21">
        <f t="shared" si="4"/>
        <v>3.2</v>
      </c>
    </row>
    <row r="12" ht="15.75" customHeight="1">
      <c r="A12" s="72" t="s">
        <v>110</v>
      </c>
      <c r="B12" s="15"/>
      <c r="C12" s="15">
        <v>72.3</v>
      </c>
      <c r="D12" s="15">
        <v>72.3</v>
      </c>
      <c r="E12" s="15"/>
      <c r="F12" s="15">
        <v>72.4</v>
      </c>
      <c r="G12" s="73">
        <v>71.7</v>
      </c>
      <c r="H12" s="15">
        <v>70.9</v>
      </c>
      <c r="I12" s="15">
        <v>70.9</v>
      </c>
      <c r="J12" s="13"/>
      <c r="K12" s="15">
        <v>70.4</v>
      </c>
      <c r="L12" s="15">
        <v>70.4</v>
      </c>
      <c r="M12" s="15">
        <v>68.4</v>
      </c>
      <c r="N12" s="15">
        <v>70.8</v>
      </c>
      <c r="O12" s="18">
        <v>71.2</v>
      </c>
      <c r="P12" s="18">
        <v>70.6</v>
      </c>
      <c r="Q12" s="18">
        <v>69.9</v>
      </c>
      <c r="R12" s="17">
        <v>70.3</v>
      </c>
      <c r="S12" s="15">
        <v>70.0</v>
      </c>
      <c r="T12" s="15">
        <v>70.1</v>
      </c>
      <c r="U12" s="15">
        <v>68.5</v>
      </c>
      <c r="V12" s="15">
        <v>69.4</v>
      </c>
      <c r="W12" s="15">
        <v>69.0</v>
      </c>
      <c r="X12" s="15"/>
      <c r="Y12" s="15">
        <v>69.7</v>
      </c>
      <c r="Z12" s="15">
        <v>68.9</v>
      </c>
      <c r="AA12" s="18">
        <v>68.9</v>
      </c>
      <c r="AB12" s="17">
        <v>69.6</v>
      </c>
      <c r="AC12" s="15">
        <v>70.0</v>
      </c>
      <c r="AD12" s="74" t="s">
        <v>7</v>
      </c>
      <c r="AE12" s="21">
        <f t="shared" si="1"/>
        <v>0.4</v>
      </c>
      <c r="AF12" s="21">
        <f>AA12-C12</f>
        <v>-3.4</v>
      </c>
    </row>
    <row r="13" ht="15.75" customHeight="1">
      <c r="A13" s="75" t="s">
        <v>111</v>
      </c>
      <c r="B13" s="15">
        <v>59.9</v>
      </c>
      <c r="C13" s="15">
        <v>61.3</v>
      </c>
      <c r="D13" s="15">
        <v>60.3</v>
      </c>
      <c r="E13" s="15">
        <v>60.7</v>
      </c>
      <c r="F13" s="15">
        <v>60.3</v>
      </c>
      <c r="G13" s="73">
        <v>60.1</v>
      </c>
      <c r="H13" s="15">
        <v>60.0</v>
      </c>
      <c r="I13" s="15">
        <v>59.6</v>
      </c>
      <c r="J13" s="13"/>
      <c r="K13" s="15">
        <v>60.0</v>
      </c>
      <c r="L13" s="15">
        <v>60.8</v>
      </c>
      <c r="M13" s="15">
        <v>61.4</v>
      </c>
      <c r="N13" s="15">
        <v>60.0</v>
      </c>
      <c r="O13" s="24">
        <v>60.7</v>
      </c>
      <c r="P13" s="28">
        <v>60.9</v>
      </c>
      <c r="Q13" s="18">
        <v>61.2</v>
      </c>
      <c r="R13" s="15">
        <v>62.1</v>
      </c>
      <c r="S13" s="15">
        <v>61.8</v>
      </c>
      <c r="T13" s="15">
        <v>63.0</v>
      </c>
      <c r="U13" s="15">
        <v>62.7</v>
      </c>
      <c r="V13" s="15" t="s">
        <v>112</v>
      </c>
      <c r="W13" s="15">
        <v>62.1</v>
      </c>
      <c r="X13" s="15"/>
      <c r="Y13" s="15">
        <v>62.0</v>
      </c>
      <c r="Z13" s="15">
        <v>61.9</v>
      </c>
      <c r="AA13" s="18">
        <v>61.6</v>
      </c>
      <c r="AB13" s="17">
        <v>62.4</v>
      </c>
      <c r="AC13" s="15">
        <v>62.9</v>
      </c>
      <c r="AD13" s="74" t="s">
        <v>14</v>
      </c>
      <c r="AE13" s="21">
        <f t="shared" si="1"/>
        <v>0.5</v>
      </c>
      <c r="AF13" s="21">
        <f t="shared" ref="AF13:AF16" si="5">AA13-B13</f>
        <v>1.7</v>
      </c>
    </row>
    <row r="14" ht="15.75" customHeight="1">
      <c r="A14" s="72" t="s">
        <v>113</v>
      </c>
      <c r="B14" s="15">
        <v>84.0</v>
      </c>
      <c r="C14" s="15">
        <v>87.3</v>
      </c>
      <c r="D14" s="15">
        <v>85.4</v>
      </c>
      <c r="E14" s="15"/>
      <c r="F14" s="15">
        <v>84.0</v>
      </c>
      <c r="G14" s="73">
        <v>84.0</v>
      </c>
      <c r="H14" s="15"/>
      <c r="I14" s="15"/>
      <c r="J14" s="13"/>
      <c r="K14" s="15">
        <v>83.1</v>
      </c>
      <c r="L14" s="15"/>
      <c r="M14" s="15"/>
      <c r="N14" s="15"/>
      <c r="O14" s="18"/>
      <c r="P14" s="18"/>
      <c r="Q14" s="18"/>
      <c r="R14" s="17"/>
      <c r="S14" s="15"/>
      <c r="T14" s="15">
        <v>83.1</v>
      </c>
      <c r="U14" s="15"/>
      <c r="V14" s="15">
        <v>83.6</v>
      </c>
      <c r="W14" s="15"/>
      <c r="X14" s="15">
        <v>84.1</v>
      </c>
      <c r="Y14" s="15"/>
      <c r="Z14" s="15"/>
      <c r="AA14" s="18"/>
      <c r="AB14" s="17">
        <v>84.7</v>
      </c>
      <c r="AC14" s="15"/>
      <c r="AD14" s="77"/>
      <c r="AE14" s="21">
        <f t="shared" si="1"/>
        <v>-84.7</v>
      </c>
      <c r="AF14" s="21">
        <f t="shared" si="5"/>
        <v>-84</v>
      </c>
    </row>
    <row r="15" ht="15.75" customHeight="1">
      <c r="A15" s="72" t="s">
        <v>114</v>
      </c>
      <c r="B15" s="15">
        <v>60.6</v>
      </c>
      <c r="C15" s="15">
        <v>61.6</v>
      </c>
      <c r="D15" s="15"/>
      <c r="E15" s="15">
        <v>59.6</v>
      </c>
      <c r="F15" s="15"/>
      <c r="G15" s="22"/>
      <c r="H15" s="15">
        <v>60.0</v>
      </c>
      <c r="I15" s="15"/>
      <c r="J15" s="13"/>
      <c r="K15" s="15"/>
      <c r="L15" s="15"/>
      <c r="M15" s="15">
        <v>59.9</v>
      </c>
      <c r="N15" s="15">
        <v>58.4</v>
      </c>
      <c r="O15" s="18"/>
      <c r="P15" s="18"/>
      <c r="Q15" s="18">
        <v>59.0</v>
      </c>
      <c r="R15" s="17">
        <v>60.2</v>
      </c>
      <c r="S15" s="15">
        <v>59.8</v>
      </c>
      <c r="T15" s="15">
        <v>61.0</v>
      </c>
      <c r="U15" s="15">
        <v>62.1</v>
      </c>
      <c r="V15" s="15"/>
      <c r="W15" s="15">
        <v>61.8</v>
      </c>
      <c r="X15" s="15"/>
      <c r="Y15" s="15">
        <v>61.5</v>
      </c>
      <c r="Z15" s="15">
        <v>60.6</v>
      </c>
      <c r="AA15" s="18">
        <v>61.9</v>
      </c>
      <c r="AB15" s="71">
        <v>62.9</v>
      </c>
      <c r="AC15" s="15">
        <v>62.6</v>
      </c>
      <c r="AD15" s="74" t="s">
        <v>14</v>
      </c>
      <c r="AE15" s="21">
        <f t="shared" si="1"/>
        <v>-0.3</v>
      </c>
      <c r="AF15" s="21">
        <f t="shared" si="5"/>
        <v>1.3</v>
      </c>
    </row>
    <row r="16" ht="15.75" customHeight="1">
      <c r="A16" s="72" t="s">
        <v>115</v>
      </c>
      <c r="B16" s="15">
        <v>73.2</v>
      </c>
      <c r="C16" s="15"/>
      <c r="D16" s="15">
        <v>71.3</v>
      </c>
      <c r="E16" s="15"/>
      <c r="F16" s="15">
        <v>72.2</v>
      </c>
      <c r="G16" s="73">
        <v>72.5</v>
      </c>
      <c r="H16" s="15">
        <v>73.2</v>
      </c>
      <c r="I16" s="15"/>
      <c r="J16" s="13"/>
      <c r="K16" s="15">
        <v>73.2</v>
      </c>
      <c r="L16" s="15">
        <v>73.6</v>
      </c>
      <c r="M16" s="15"/>
      <c r="N16" s="15"/>
      <c r="O16" s="18"/>
      <c r="P16" s="18"/>
      <c r="Q16" s="18">
        <v>72.5</v>
      </c>
      <c r="R16" s="17">
        <v>72.6</v>
      </c>
      <c r="S16" s="15">
        <v>71.7</v>
      </c>
      <c r="T16" s="15">
        <v>72.3</v>
      </c>
      <c r="U16" s="15">
        <v>72.7</v>
      </c>
      <c r="V16" s="15">
        <v>74.2</v>
      </c>
      <c r="W16" s="15">
        <v>73.7</v>
      </c>
      <c r="X16" s="15"/>
      <c r="Y16" s="15"/>
      <c r="Z16" s="15">
        <v>73.9</v>
      </c>
      <c r="AA16" s="18">
        <v>74.3</v>
      </c>
      <c r="AB16" s="17"/>
      <c r="AC16" s="15">
        <v>75.4</v>
      </c>
      <c r="AD16" s="74" t="s">
        <v>14</v>
      </c>
      <c r="AE16" s="21">
        <f t="shared" si="1"/>
        <v>75.4</v>
      </c>
      <c r="AF16" s="21">
        <f t="shared" si="5"/>
        <v>1.1</v>
      </c>
    </row>
    <row r="17" ht="15.75" customHeight="1">
      <c r="A17" s="72" t="s">
        <v>116</v>
      </c>
      <c r="B17" s="15"/>
      <c r="C17" s="15"/>
      <c r="D17" s="15"/>
      <c r="E17" s="15"/>
      <c r="F17" s="15">
        <v>75.8</v>
      </c>
      <c r="G17" s="22"/>
      <c r="H17" s="15">
        <v>75.9</v>
      </c>
      <c r="I17" s="15">
        <v>76.3</v>
      </c>
      <c r="J17" s="13"/>
      <c r="K17" s="15">
        <v>75.3</v>
      </c>
      <c r="L17" s="15">
        <v>75.3</v>
      </c>
      <c r="M17" s="15">
        <v>75.4</v>
      </c>
      <c r="N17" s="15">
        <v>75.9</v>
      </c>
      <c r="O17" s="18">
        <v>76.3</v>
      </c>
      <c r="P17" s="18">
        <v>76.2</v>
      </c>
      <c r="Q17" s="18">
        <v>75.5</v>
      </c>
      <c r="R17" s="78">
        <v>77.2</v>
      </c>
      <c r="S17" s="15">
        <v>75.5</v>
      </c>
      <c r="T17" s="15">
        <v>75.6</v>
      </c>
      <c r="U17" s="15">
        <v>76.9</v>
      </c>
      <c r="V17" s="15" t="s">
        <v>117</v>
      </c>
      <c r="W17" s="15">
        <v>76.8</v>
      </c>
      <c r="X17" s="15"/>
      <c r="Y17" s="15">
        <v>76.3</v>
      </c>
      <c r="Z17" s="15">
        <v>75.1</v>
      </c>
      <c r="AA17" s="18">
        <v>75.7</v>
      </c>
      <c r="AB17" s="17">
        <v>75.4</v>
      </c>
      <c r="AC17" s="15">
        <v>75.8</v>
      </c>
      <c r="AD17" s="74" t="s">
        <v>14</v>
      </c>
      <c r="AE17" s="21">
        <f t="shared" si="1"/>
        <v>0.4</v>
      </c>
      <c r="AF17" s="21">
        <f>AA17-F17</f>
        <v>-0.1</v>
      </c>
    </row>
    <row r="18" ht="15.75" customHeight="1">
      <c r="A18" s="75" t="s">
        <v>118</v>
      </c>
      <c r="B18" s="15"/>
      <c r="C18" s="15">
        <v>78.2</v>
      </c>
      <c r="D18" s="15">
        <v>77.4</v>
      </c>
      <c r="E18" s="15">
        <v>77.0</v>
      </c>
      <c r="F18" s="15">
        <v>76.7</v>
      </c>
      <c r="G18" s="73">
        <v>76.3</v>
      </c>
      <c r="H18" s="15">
        <v>71.4</v>
      </c>
      <c r="I18" s="15">
        <v>77.1</v>
      </c>
      <c r="J18" s="13"/>
      <c r="K18" s="15">
        <v>77.8</v>
      </c>
      <c r="L18" s="15">
        <v>78.2</v>
      </c>
      <c r="M18" s="15">
        <v>78.5</v>
      </c>
      <c r="N18" s="15">
        <v>78.7</v>
      </c>
      <c r="O18" s="24">
        <v>79.9</v>
      </c>
      <c r="P18" s="28">
        <v>80.0</v>
      </c>
      <c r="Q18" s="18">
        <v>81.0</v>
      </c>
      <c r="R18" s="15">
        <v>79.6</v>
      </c>
      <c r="S18" s="15"/>
      <c r="T18" s="15">
        <v>79.2</v>
      </c>
      <c r="U18" s="15">
        <v>78.5</v>
      </c>
      <c r="V18" s="15">
        <v>79.5</v>
      </c>
      <c r="W18" s="15">
        <v>79.6</v>
      </c>
      <c r="X18" s="15"/>
      <c r="Y18" s="15">
        <v>80.0</v>
      </c>
      <c r="Z18" s="15">
        <v>78.9</v>
      </c>
      <c r="AA18" s="18">
        <v>78.5</v>
      </c>
      <c r="AB18" s="17">
        <v>78.6</v>
      </c>
      <c r="AC18" s="15">
        <v>79.6</v>
      </c>
      <c r="AD18" s="74" t="s">
        <v>7</v>
      </c>
      <c r="AE18" s="21">
        <f t="shared" si="1"/>
        <v>1</v>
      </c>
      <c r="AF18" s="21">
        <f>AA18-C18</f>
        <v>0.3</v>
      </c>
    </row>
    <row r="19" ht="15.75" customHeight="1">
      <c r="A19" s="72" t="s">
        <v>119</v>
      </c>
      <c r="B19" s="60">
        <v>64.5</v>
      </c>
      <c r="C19" s="60"/>
      <c r="D19" s="60"/>
      <c r="E19" s="60"/>
      <c r="F19" s="60"/>
      <c r="G19" s="79"/>
      <c r="H19" s="60"/>
      <c r="I19" s="60">
        <v>72.8</v>
      </c>
      <c r="J19" s="61"/>
      <c r="K19" s="60"/>
      <c r="L19" s="60"/>
      <c r="M19" s="60"/>
      <c r="N19" s="60"/>
      <c r="O19" s="60"/>
      <c r="P19" s="61"/>
      <c r="Q19" s="62"/>
      <c r="R19" s="60"/>
      <c r="S19" s="15"/>
      <c r="T19" s="15"/>
      <c r="U19" s="15">
        <v>67.8</v>
      </c>
      <c r="V19" s="15" t="s">
        <v>120</v>
      </c>
      <c r="W19" s="15">
        <v>67.4</v>
      </c>
      <c r="X19" s="17" t="s">
        <v>16</v>
      </c>
      <c r="Y19" s="17">
        <v>67.2</v>
      </c>
      <c r="Z19" s="17">
        <v>66.9</v>
      </c>
      <c r="AA19" s="18">
        <v>67.0</v>
      </c>
      <c r="AB19" s="17">
        <v>67.2</v>
      </c>
      <c r="AC19" s="17">
        <v>65.7</v>
      </c>
      <c r="AD19" s="80"/>
      <c r="AE19" s="21">
        <f t="shared" si="1"/>
        <v>-1.5</v>
      </c>
      <c r="AF19" s="21">
        <f t="shared" ref="AF19:AF27" si="6">AA19-B19</f>
        <v>2.5</v>
      </c>
    </row>
    <row r="20" ht="15.75" customHeight="1">
      <c r="A20" s="72" t="s">
        <v>121</v>
      </c>
      <c r="B20" s="15">
        <v>62.8</v>
      </c>
      <c r="C20" s="15">
        <v>63.3</v>
      </c>
      <c r="D20" s="15"/>
      <c r="E20" s="15"/>
      <c r="F20" s="15">
        <v>62.1</v>
      </c>
      <c r="G20" s="73">
        <v>61.1</v>
      </c>
      <c r="H20" s="15">
        <v>61.3</v>
      </c>
      <c r="I20" s="15" t="s">
        <v>122</v>
      </c>
      <c r="J20" s="13"/>
      <c r="K20" s="15">
        <v>63.0</v>
      </c>
      <c r="L20" s="15">
        <v>63.7</v>
      </c>
      <c r="M20" s="15">
        <v>62.5</v>
      </c>
      <c r="N20" s="15">
        <v>62.4</v>
      </c>
      <c r="O20" s="48">
        <v>63.2</v>
      </c>
      <c r="P20" s="48">
        <v>63.0</v>
      </c>
      <c r="Q20" s="18">
        <v>64.5</v>
      </c>
      <c r="R20" s="49">
        <v>63.7</v>
      </c>
      <c r="S20" s="15">
        <v>63.5</v>
      </c>
      <c r="T20" s="15">
        <v>63.9</v>
      </c>
      <c r="U20" s="15">
        <v>63.8</v>
      </c>
      <c r="V20" s="15">
        <v>64.5</v>
      </c>
      <c r="W20" s="15">
        <v>64.2</v>
      </c>
      <c r="X20" s="15"/>
      <c r="Y20" s="15"/>
      <c r="Z20" s="15">
        <v>65.3</v>
      </c>
      <c r="AA20" s="18">
        <v>65.7</v>
      </c>
      <c r="AB20" s="17">
        <v>65.3</v>
      </c>
      <c r="AC20" s="15">
        <v>65.2</v>
      </c>
      <c r="AD20" s="74" t="s">
        <v>14</v>
      </c>
      <c r="AE20" s="21">
        <f t="shared" si="1"/>
        <v>-0.1</v>
      </c>
      <c r="AF20" s="21">
        <f t="shared" si="6"/>
        <v>2.9</v>
      </c>
    </row>
    <row r="21" ht="15.75" customHeight="1">
      <c r="A21" s="75" t="s">
        <v>123</v>
      </c>
      <c r="B21" s="15">
        <v>61.5</v>
      </c>
      <c r="C21" s="15">
        <v>60.1</v>
      </c>
      <c r="D21" s="15">
        <v>60.4</v>
      </c>
      <c r="E21" s="15">
        <v>60.7</v>
      </c>
      <c r="F21" s="15">
        <v>60.5</v>
      </c>
      <c r="G21" s="22"/>
      <c r="H21" s="15"/>
      <c r="I21" s="15">
        <v>62.0</v>
      </c>
      <c r="J21" s="13">
        <v>62.7</v>
      </c>
      <c r="K21" s="15">
        <v>61.8</v>
      </c>
      <c r="L21" s="15"/>
      <c r="M21" s="15"/>
      <c r="N21" s="15"/>
      <c r="O21" s="24">
        <v>59.1</v>
      </c>
      <c r="P21" s="28"/>
      <c r="Q21" s="18"/>
      <c r="R21" s="15">
        <v>59.6</v>
      </c>
      <c r="S21" s="15">
        <v>60.8</v>
      </c>
      <c r="T21" s="15">
        <v>61.9</v>
      </c>
      <c r="U21" s="15"/>
      <c r="V21" s="15"/>
      <c r="W21" s="15">
        <v>61.7</v>
      </c>
      <c r="X21" s="15"/>
      <c r="Y21" s="15"/>
      <c r="Z21" s="15"/>
      <c r="AA21" s="18"/>
      <c r="AB21" s="15">
        <v>61.3</v>
      </c>
      <c r="AC21" s="15">
        <v>61.1</v>
      </c>
      <c r="AD21" s="74" t="s">
        <v>9</v>
      </c>
      <c r="AE21" s="21">
        <f t="shared" si="1"/>
        <v>-0.2</v>
      </c>
      <c r="AF21" s="21">
        <f t="shared" si="6"/>
        <v>-61.5</v>
      </c>
    </row>
    <row r="22" ht="15.75" customHeight="1">
      <c r="A22" s="72" t="s">
        <v>124</v>
      </c>
      <c r="B22" s="15">
        <v>70.8</v>
      </c>
      <c r="C22" s="15">
        <v>73.8</v>
      </c>
      <c r="D22" s="15">
        <v>73.3</v>
      </c>
      <c r="E22" s="15"/>
      <c r="F22" s="15">
        <v>73.0</v>
      </c>
      <c r="G22" s="73">
        <v>73.2</v>
      </c>
      <c r="H22" s="15">
        <v>71.6</v>
      </c>
      <c r="I22" s="15"/>
      <c r="J22" s="13"/>
      <c r="K22" s="15">
        <v>72.5</v>
      </c>
      <c r="L22" s="15">
        <v>71.9</v>
      </c>
      <c r="M22" s="15">
        <v>72.4</v>
      </c>
      <c r="N22" s="15">
        <v>71.9</v>
      </c>
      <c r="O22" s="18">
        <v>71.7</v>
      </c>
      <c r="P22" s="18"/>
      <c r="Q22" s="18"/>
      <c r="R22" s="17"/>
      <c r="S22" s="15">
        <v>70.1</v>
      </c>
      <c r="T22" s="15"/>
      <c r="U22" s="15"/>
      <c r="V22" s="15">
        <v>70.8</v>
      </c>
      <c r="W22" s="15">
        <v>70.7</v>
      </c>
      <c r="X22" s="15"/>
      <c r="Y22" s="15"/>
      <c r="Z22" s="15">
        <v>70.6</v>
      </c>
      <c r="AA22" s="81">
        <v>70.8</v>
      </c>
      <c r="AB22" s="17">
        <v>70.5</v>
      </c>
      <c r="AC22" s="15"/>
      <c r="AD22" s="76"/>
      <c r="AE22" s="21">
        <f t="shared" si="1"/>
        <v>-70.5</v>
      </c>
      <c r="AF22" s="21">
        <f t="shared" si="6"/>
        <v>0</v>
      </c>
    </row>
    <row r="23" ht="15.75" customHeight="1">
      <c r="A23" s="72" t="s">
        <v>125</v>
      </c>
      <c r="B23" s="15">
        <v>56.7</v>
      </c>
      <c r="C23" s="15">
        <v>58.7</v>
      </c>
      <c r="D23" s="15">
        <v>58.2</v>
      </c>
      <c r="E23" s="15"/>
      <c r="F23" s="15"/>
      <c r="G23" s="22"/>
      <c r="H23" s="15"/>
      <c r="I23" s="15"/>
      <c r="J23" s="13"/>
      <c r="K23" s="53">
        <v>61.8</v>
      </c>
      <c r="L23" s="53"/>
      <c r="M23" s="15">
        <v>61.8</v>
      </c>
      <c r="N23" s="15"/>
      <c r="O23" s="18"/>
      <c r="P23" s="18">
        <v>62.5</v>
      </c>
      <c r="Q23" s="18">
        <v>62.4</v>
      </c>
      <c r="R23" s="17">
        <v>62.8</v>
      </c>
      <c r="S23" s="15">
        <v>63.6</v>
      </c>
      <c r="T23" s="15">
        <v>62.9</v>
      </c>
      <c r="U23" s="15">
        <v>62.2</v>
      </c>
      <c r="V23" s="15" t="s">
        <v>126</v>
      </c>
      <c r="W23" s="15">
        <v>63.4</v>
      </c>
      <c r="X23" s="15"/>
      <c r="Y23" s="15">
        <v>64.4</v>
      </c>
      <c r="Z23" s="15">
        <v>63.6</v>
      </c>
      <c r="AA23" s="18">
        <v>63.1</v>
      </c>
      <c r="AB23" s="17">
        <v>64.8</v>
      </c>
      <c r="AC23" s="15"/>
      <c r="AD23" s="74" t="s">
        <v>7</v>
      </c>
      <c r="AE23" s="21">
        <f t="shared" si="1"/>
        <v>-64.8</v>
      </c>
      <c r="AF23" s="21">
        <f t="shared" si="6"/>
        <v>6.4</v>
      </c>
    </row>
    <row r="24" ht="15.75" customHeight="1">
      <c r="A24" s="75" t="s">
        <v>127</v>
      </c>
      <c r="B24" s="15">
        <v>64.8</v>
      </c>
      <c r="C24" s="15">
        <v>64.7</v>
      </c>
      <c r="D24" s="15">
        <v>64.4</v>
      </c>
      <c r="E24" s="15">
        <v>62.5</v>
      </c>
      <c r="F24" s="15">
        <v>63.5</v>
      </c>
      <c r="G24" s="73">
        <v>63.0</v>
      </c>
      <c r="H24" s="15">
        <v>62.8</v>
      </c>
      <c r="I24" s="15">
        <v>63.0</v>
      </c>
      <c r="J24" s="13"/>
      <c r="K24" s="15">
        <v>63.1</v>
      </c>
      <c r="L24" s="15">
        <v>63.2</v>
      </c>
      <c r="M24" s="15">
        <v>62.9</v>
      </c>
      <c r="N24" s="15">
        <v>63.2</v>
      </c>
      <c r="O24" s="18">
        <v>63.6</v>
      </c>
      <c r="P24" s="18">
        <v>63.9</v>
      </c>
      <c r="Q24" s="18">
        <v>63.8</v>
      </c>
      <c r="R24" s="17">
        <v>63.4</v>
      </c>
      <c r="S24" s="15">
        <v>64.4</v>
      </c>
      <c r="T24" s="15">
        <v>63.9</v>
      </c>
      <c r="U24" s="15">
        <v>64.1</v>
      </c>
      <c r="V24" s="15" t="s">
        <v>128</v>
      </c>
      <c r="W24" s="15">
        <v>63.7</v>
      </c>
      <c r="X24" s="15"/>
      <c r="Y24" s="15">
        <v>63.1</v>
      </c>
      <c r="Z24" s="15">
        <v>63.0</v>
      </c>
      <c r="AA24" s="18">
        <v>62.6</v>
      </c>
      <c r="AB24" s="17">
        <v>63.0</v>
      </c>
      <c r="AC24" s="15">
        <v>63.0</v>
      </c>
      <c r="AD24" s="74" t="s">
        <v>14</v>
      </c>
      <c r="AE24" s="21">
        <f t="shared" si="1"/>
        <v>0</v>
      </c>
      <c r="AF24" s="21">
        <f t="shared" si="6"/>
        <v>-2.2</v>
      </c>
    </row>
    <row r="25" ht="15.75" customHeight="1">
      <c r="A25" s="72" t="s">
        <v>129</v>
      </c>
      <c r="B25" s="15">
        <v>65.8</v>
      </c>
      <c r="C25" s="15"/>
      <c r="D25" s="15">
        <v>67.0</v>
      </c>
      <c r="E25" s="15">
        <v>67.0</v>
      </c>
      <c r="F25" s="15">
        <v>65.6</v>
      </c>
      <c r="G25" s="73">
        <v>66.8</v>
      </c>
      <c r="H25" s="15">
        <v>66.0</v>
      </c>
      <c r="I25" s="15">
        <v>66.1</v>
      </c>
      <c r="J25" s="13"/>
      <c r="K25" s="15">
        <v>66.5</v>
      </c>
      <c r="L25" s="15">
        <v>67.2</v>
      </c>
      <c r="M25" s="15">
        <v>67.0</v>
      </c>
      <c r="N25" s="15">
        <v>67.4</v>
      </c>
      <c r="O25" s="18">
        <v>66.8</v>
      </c>
      <c r="P25" s="18">
        <v>66.9</v>
      </c>
      <c r="Q25" s="18"/>
      <c r="R25" s="17">
        <v>68.0</v>
      </c>
      <c r="S25" s="15">
        <v>69.2</v>
      </c>
      <c r="T25" s="15">
        <v>68.8</v>
      </c>
      <c r="U25" s="15"/>
      <c r="V25" s="15"/>
      <c r="W25" s="15">
        <v>67.5</v>
      </c>
      <c r="X25" s="15"/>
      <c r="Y25" s="15"/>
      <c r="Z25" s="15"/>
      <c r="AA25" s="18"/>
      <c r="AB25" s="17"/>
      <c r="AC25" s="15"/>
      <c r="AD25" s="82" t="s">
        <v>9</v>
      </c>
      <c r="AE25" s="21">
        <f t="shared" si="1"/>
        <v>0</v>
      </c>
      <c r="AF25" s="21">
        <f t="shared" si="6"/>
        <v>-65.8</v>
      </c>
    </row>
    <row r="26" ht="15.75" customHeight="1">
      <c r="A26" s="72" t="s">
        <v>130</v>
      </c>
      <c r="B26" s="15">
        <v>65.4</v>
      </c>
      <c r="C26" s="15">
        <v>69.7</v>
      </c>
      <c r="D26" s="15">
        <v>69.5</v>
      </c>
      <c r="E26" s="15"/>
      <c r="F26" s="15">
        <v>69.3</v>
      </c>
      <c r="G26" s="73">
        <v>69.0</v>
      </c>
      <c r="H26" s="15">
        <v>69.6</v>
      </c>
      <c r="I26" s="15">
        <v>70.1</v>
      </c>
      <c r="J26" s="13"/>
      <c r="K26" s="15">
        <v>69.5</v>
      </c>
      <c r="L26" s="15">
        <v>69.3</v>
      </c>
      <c r="M26" s="15">
        <v>70.6</v>
      </c>
      <c r="N26" s="15">
        <v>70.4</v>
      </c>
      <c r="O26" s="18">
        <v>70.6</v>
      </c>
      <c r="P26" s="18">
        <v>71.3</v>
      </c>
      <c r="Q26" s="18"/>
      <c r="R26" s="17">
        <v>69.9</v>
      </c>
      <c r="S26" s="15">
        <v>69.4</v>
      </c>
      <c r="T26" s="15"/>
      <c r="U26" s="15">
        <v>71.3</v>
      </c>
      <c r="V26" s="15">
        <v>71.6</v>
      </c>
      <c r="W26" s="15">
        <v>70.7</v>
      </c>
      <c r="X26" s="15"/>
      <c r="Y26" s="15">
        <v>72.1</v>
      </c>
      <c r="Z26" s="15">
        <v>72.3</v>
      </c>
      <c r="AA26" s="18">
        <v>72.5</v>
      </c>
      <c r="AB26" s="17">
        <v>71.9</v>
      </c>
      <c r="AC26" s="15">
        <v>73.9</v>
      </c>
      <c r="AD26" s="82"/>
      <c r="AE26" s="21">
        <f t="shared" si="1"/>
        <v>2</v>
      </c>
      <c r="AF26" s="21">
        <f t="shared" si="6"/>
        <v>7.1</v>
      </c>
    </row>
    <row r="27" ht="15.75" customHeight="1">
      <c r="A27" s="72" t="s">
        <v>131</v>
      </c>
      <c r="B27" s="15">
        <v>61.5</v>
      </c>
      <c r="C27" s="15">
        <v>63.3</v>
      </c>
      <c r="D27" s="15">
        <v>66.4</v>
      </c>
      <c r="E27" s="15"/>
      <c r="F27" s="15"/>
      <c r="G27" s="73">
        <v>66.4</v>
      </c>
      <c r="H27" s="15">
        <v>65.7</v>
      </c>
      <c r="I27" s="15"/>
      <c r="J27" s="13"/>
      <c r="K27" s="15"/>
      <c r="L27" s="15"/>
      <c r="M27" s="15"/>
      <c r="N27" s="15">
        <v>65.9</v>
      </c>
      <c r="O27" s="18"/>
      <c r="P27" s="18"/>
      <c r="Q27" s="17">
        <v>66.8</v>
      </c>
      <c r="R27" s="17"/>
      <c r="S27" s="15">
        <v>66.8</v>
      </c>
      <c r="T27" s="15">
        <v>66.9</v>
      </c>
      <c r="U27" s="15">
        <v>66.7</v>
      </c>
      <c r="V27" s="15">
        <v>66.8</v>
      </c>
      <c r="W27" s="15">
        <v>67.4</v>
      </c>
      <c r="X27" s="15"/>
      <c r="Y27" s="15">
        <v>67.4</v>
      </c>
      <c r="Z27" s="15">
        <v>68.0</v>
      </c>
      <c r="AA27" s="18">
        <v>67.7</v>
      </c>
      <c r="AB27" s="17">
        <v>68.6</v>
      </c>
      <c r="AC27" s="15">
        <v>68.2</v>
      </c>
      <c r="AD27" s="74" t="s">
        <v>14</v>
      </c>
      <c r="AE27" s="21">
        <f t="shared" si="1"/>
        <v>-0.4</v>
      </c>
      <c r="AF27" s="21">
        <f t="shared" si="6"/>
        <v>6.2</v>
      </c>
    </row>
    <row r="28" ht="15.75" customHeight="1">
      <c r="A28" s="72" t="s">
        <v>132</v>
      </c>
      <c r="B28" s="15"/>
      <c r="C28" s="15"/>
      <c r="D28" s="13"/>
      <c r="E28" s="15">
        <v>64.0</v>
      </c>
      <c r="F28" s="15"/>
      <c r="G28" s="73">
        <v>63.3</v>
      </c>
      <c r="H28" s="15">
        <v>61.8</v>
      </c>
      <c r="I28" s="15">
        <v>63.0</v>
      </c>
      <c r="J28" s="13"/>
      <c r="K28" s="15">
        <v>63.7</v>
      </c>
      <c r="L28" s="15">
        <v>61.5</v>
      </c>
      <c r="M28" s="15"/>
      <c r="N28" s="15">
        <v>63.5</v>
      </c>
      <c r="O28" s="17"/>
      <c r="P28" s="17"/>
      <c r="Q28" s="17"/>
      <c r="R28" s="17"/>
      <c r="S28" s="15"/>
      <c r="T28" s="15">
        <v>64.6</v>
      </c>
      <c r="U28" s="15">
        <v>65.0</v>
      </c>
      <c r="V28" s="15">
        <v>65.1</v>
      </c>
      <c r="W28" s="15">
        <v>65.4</v>
      </c>
      <c r="X28" s="15"/>
      <c r="Y28" s="15"/>
      <c r="Z28" s="15">
        <v>65.1</v>
      </c>
      <c r="AA28" s="18">
        <v>64.7</v>
      </c>
      <c r="AB28" s="17">
        <v>65.2</v>
      </c>
      <c r="AC28" s="15">
        <v>65.7</v>
      </c>
      <c r="AD28" s="82"/>
      <c r="AE28" s="21">
        <f t="shared" si="1"/>
        <v>0.5</v>
      </c>
      <c r="AF28" s="21">
        <f>AA28-E28</f>
        <v>0.7</v>
      </c>
    </row>
    <row r="29" ht="15.75" customHeight="1">
      <c r="A29" s="72" t="s">
        <v>133</v>
      </c>
      <c r="B29" s="15"/>
      <c r="C29" s="15"/>
      <c r="D29" s="15">
        <v>83.4</v>
      </c>
      <c r="E29" s="15">
        <v>83.1</v>
      </c>
      <c r="F29" s="15">
        <v>82.8</v>
      </c>
      <c r="G29" s="73">
        <v>82.5</v>
      </c>
      <c r="H29" s="15">
        <v>83.4</v>
      </c>
      <c r="I29" s="15">
        <v>83.9</v>
      </c>
      <c r="J29" s="13"/>
      <c r="K29" s="15">
        <v>83.7</v>
      </c>
      <c r="L29" s="53">
        <v>84.9</v>
      </c>
      <c r="M29" s="15">
        <v>84.5</v>
      </c>
      <c r="N29" s="15"/>
      <c r="O29" s="18"/>
      <c r="P29" s="18">
        <v>81.4</v>
      </c>
      <c r="Q29" s="18"/>
      <c r="R29" s="78">
        <v>84.7</v>
      </c>
      <c r="S29" s="15"/>
      <c r="T29" s="15"/>
      <c r="U29" s="15"/>
      <c r="V29" s="15"/>
      <c r="W29" s="15"/>
      <c r="X29" s="15"/>
      <c r="Y29" s="15"/>
      <c r="Z29" s="15"/>
      <c r="AA29" s="18"/>
      <c r="AB29" s="17"/>
      <c r="AC29" s="15"/>
      <c r="AD29" s="74" t="s">
        <v>9</v>
      </c>
      <c r="AE29" s="21">
        <f t="shared" si="1"/>
        <v>0</v>
      </c>
      <c r="AF29" s="21">
        <f>AA29-D29</f>
        <v>-83.4</v>
      </c>
    </row>
    <row r="30" ht="15.75" customHeight="1">
      <c r="A30" s="72" t="s">
        <v>134</v>
      </c>
      <c r="B30" s="15">
        <v>67.0</v>
      </c>
      <c r="C30" s="15">
        <v>68.9</v>
      </c>
      <c r="D30" s="15">
        <v>68.9</v>
      </c>
      <c r="E30" s="15">
        <v>70.7</v>
      </c>
      <c r="F30" s="15">
        <v>70.3</v>
      </c>
      <c r="G30" s="73">
        <v>69.5</v>
      </c>
      <c r="H30" s="15">
        <v>69.6</v>
      </c>
      <c r="I30" s="15">
        <v>69.8</v>
      </c>
      <c r="J30" s="13"/>
      <c r="K30" s="15">
        <v>70.8</v>
      </c>
      <c r="L30" s="15">
        <v>71.0</v>
      </c>
      <c r="M30" s="15">
        <v>69.6</v>
      </c>
      <c r="N30" s="15"/>
      <c r="O30" s="18">
        <v>70.8</v>
      </c>
      <c r="P30" s="18"/>
      <c r="Q30" s="18"/>
      <c r="R30" s="17">
        <v>71.0</v>
      </c>
      <c r="S30" s="15">
        <v>71.9</v>
      </c>
      <c r="T30" s="15">
        <v>71.8</v>
      </c>
      <c r="U30" s="15">
        <v>72.3</v>
      </c>
      <c r="V30" s="15" t="s">
        <v>135</v>
      </c>
      <c r="W30" s="15">
        <v>72.5</v>
      </c>
      <c r="X30" s="15"/>
      <c r="Y30" s="15">
        <v>72.0</v>
      </c>
      <c r="Z30" s="15">
        <v>72.1</v>
      </c>
      <c r="AA30" s="18">
        <v>71.1</v>
      </c>
      <c r="AB30" s="18">
        <v>71.0</v>
      </c>
      <c r="AC30" s="15">
        <v>71.3</v>
      </c>
      <c r="AD30" s="74" t="s">
        <v>67</v>
      </c>
      <c r="AE30" s="21">
        <f t="shared" si="1"/>
        <v>0.3</v>
      </c>
      <c r="AF30" s="21">
        <f t="shared" ref="AF30:AF34" si="7">AA30-B30</f>
        <v>4.1</v>
      </c>
    </row>
    <row r="31" ht="15.75" customHeight="1">
      <c r="A31" s="72" t="s">
        <v>136</v>
      </c>
      <c r="B31" s="15">
        <v>64.3</v>
      </c>
      <c r="C31" s="15">
        <v>64.6</v>
      </c>
      <c r="D31" s="15">
        <v>63.4</v>
      </c>
      <c r="E31" s="15"/>
      <c r="F31" s="15">
        <v>64.1</v>
      </c>
      <c r="G31" s="73">
        <v>62.9</v>
      </c>
      <c r="H31" s="15">
        <v>65.2</v>
      </c>
      <c r="I31" s="15">
        <v>64.5</v>
      </c>
      <c r="J31" s="13"/>
      <c r="K31" s="15">
        <v>63.4</v>
      </c>
      <c r="L31" s="15">
        <v>64.3</v>
      </c>
      <c r="M31" s="15">
        <v>64.2</v>
      </c>
      <c r="N31" s="15"/>
      <c r="O31" s="18">
        <v>65.0</v>
      </c>
      <c r="P31" s="18">
        <v>65.8</v>
      </c>
      <c r="Q31" s="18">
        <v>65.2</v>
      </c>
      <c r="R31" s="17">
        <v>65.5</v>
      </c>
      <c r="S31" s="15">
        <v>67.4</v>
      </c>
      <c r="T31" s="15">
        <v>67.3</v>
      </c>
      <c r="U31" s="15">
        <v>66.7</v>
      </c>
      <c r="V31" s="15" t="s">
        <v>137</v>
      </c>
      <c r="W31" s="15">
        <v>66.9</v>
      </c>
      <c r="X31" s="15"/>
      <c r="Y31" s="15">
        <v>67.0</v>
      </c>
      <c r="Z31" s="15">
        <v>67.3</v>
      </c>
      <c r="AA31" s="81">
        <v>67.5</v>
      </c>
      <c r="AB31" s="17">
        <v>67.0</v>
      </c>
      <c r="AC31" s="15">
        <v>66.8</v>
      </c>
      <c r="AD31" s="82"/>
      <c r="AE31" s="21">
        <f t="shared" si="1"/>
        <v>-0.2</v>
      </c>
      <c r="AF31" s="21">
        <f t="shared" si="7"/>
        <v>3.2</v>
      </c>
    </row>
    <row r="32" ht="15.75" customHeight="1">
      <c r="A32" s="72" t="s">
        <v>138</v>
      </c>
      <c r="B32" s="15">
        <v>67.3</v>
      </c>
      <c r="C32" s="15">
        <v>66.5</v>
      </c>
      <c r="D32" s="15">
        <v>66.8</v>
      </c>
      <c r="E32" s="15">
        <v>68.1</v>
      </c>
      <c r="F32" s="15">
        <v>68.4</v>
      </c>
      <c r="G32" s="73">
        <v>67.3</v>
      </c>
      <c r="H32" s="15">
        <v>68.1</v>
      </c>
      <c r="I32" s="15">
        <v>67.9</v>
      </c>
      <c r="J32" s="13"/>
      <c r="K32" s="15">
        <v>67.5</v>
      </c>
      <c r="L32" s="15"/>
      <c r="M32" s="15"/>
      <c r="N32" s="15"/>
      <c r="O32" s="18"/>
      <c r="P32" s="18"/>
      <c r="Q32" s="18"/>
      <c r="R32" s="17" t="s">
        <v>9</v>
      </c>
      <c r="S32" s="15">
        <v>69.0</v>
      </c>
      <c r="T32" s="15">
        <v>69.7</v>
      </c>
      <c r="U32" s="15"/>
      <c r="V32" s="15"/>
      <c r="W32" s="15"/>
      <c r="X32" s="15"/>
      <c r="Y32" s="15"/>
      <c r="Z32" s="15"/>
      <c r="AA32" s="18"/>
      <c r="AB32" s="17"/>
      <c r="AC32" s="15">
        <v>69.8</v>
      </c>
      <c r="AD32" s="74" t="s">
        <v>9</v>
      </c>
      <c r="AE32" s="21">
        <f t="shared" si="1"/>
        <v>69.8</v>
      </c>
      <c r="AF32" s="21">
        <f t="shared" si="7"/>
        <v>-67.3</v>
      </c>
    </row>
    <row r="33" ht="15.75" customHeight="1">
      <c r="A33" s="72" t="s">
        <v>139</v>
      </c>
      <c r="B33" s="15">
        <v>67.2</v>
      </c>
      <c r="C33" s="15">
        <v>66.5</v>
      </c>
      <c r="D33" s="15">
        <v>67.0</v>
      </c>
      <c r="E33" s="15"/>
      <c r="F33" s="15">
        <v>67.6</v>
      </c>
      <c r="G33" s="73">
        <v>67.9</v>
      </c>
      <c r="H33" s="15">
        <v>68.7</v>
      </c>
      <c r="I33" s="15" t="s">
        <v>140</v>
      </c>
      <c r="J33" s="13"/>
      <c r="K33" s="15">
        <v>67.6</v>
      </c>
      <c r="L33" s="15">
        <v>67.7</v>
      </c>
      <c r="M33" s="15">
        <v>68.7</v>
      </c>
      <c r="N33" s="15">
        <v>67.4</v>
      </c>
      <c r="O33" s="18">
        <v>67.6</v>
      </c>
      <c r="P33" s="18">
        <v>67.1</v>
      </c>
      <c r="Q33" s="18">
        <v>68.0</v>
      </c>
      <c r="R33" s="17">
        <v>68.0</v>
      </c>
      <c r="S33" s="15">
        <v>68.0</v>
      </c>
      <c r="T33" s="15">
        <v>69.5</v>
      </c>
      <c r="U33" s="15">
        <v>69.1</v>
      </c>
      <c r="V33" s="15">
        <v>68.3</v>
      </c>
      <c r="W33" s="15">
        <v>69.2</v>
      </c>
      <c r="X33" s="15"/>
      <c r="Y33" s="15">
        <v>70.2</v>
      </c>
      <c r="Z33" s="15">
        <v>68.4</v>
      </c>
      <c r="AA33" s="18">
        <v>67.9</v>
      </c>
      <c r="AB33" s="17">
        <v>69.2</v>
      </c>
      <c r="AC33" s="15">
        <v>67.5</v>
      </c>
      <c r="AD33" s="74" t="s">
        <v>14</v>
      </c>
      <c r="AE33" s="21">
        <f t="shared" si="1"/>
        <v>-1.7</v>
      </c>
      <c r="AF33" s="21">
        <f t="shared" si="7"/>
        <v>0.7</v>
      </c>
    </row>
    <row r="34" ht="15.0" customHeight="1">
      <c r="A34" s="75" t="s">
        <v>141</v>
      </c>
      <c r="B34" s="15">
        <v>83.6</v>
      </c>
      <c r="C34" s="15">
        <v>84.9</v>
      </c>
      <c r="D34" s="15">
        <v>84.8</v>
      </c>
      <c r="E34" s="15">
        <v>82.3</v>
      </c>
      <c r="F34" s="15">
        <v>83.0</v>
      </c>
      <c r="G34" s="73"/>
      <c r="H34" s="15">
        <v>83.7</v>
      </c>
      <c r="I34" s="15">
        <v>84.8</v>
      </c>
      <c r="J34" s="13"/>
      <c r="K34" s="15">
        <v>84.9</v>
      </c>
      <c r="L34" s="53">
        <v>85.6</v>
      </c>
      <c r="M34" s="15">
        <v>83.8</v>
      </c>
      <c r="N34" s="15">
        <v>83.2</v>
      </c>
      <c r="O34" s="18">
        <v>84.1</v>
      </c>
      <c r="P34" s="18">
        <v>84.2</v>
      </c>
      <c r="Q34" s="18">
        <v>84.2</v>
      </c>
      <c r="R34" s="17">
        <v>85.0</v>
      </c>
      <c r="S34" s="15">
        <v>84.7</v>
      </c>
      <c r="T34" s="15">
        <v>84.4</v>
      </c>
      <c r="U34" s="15">
        <v>86.4</v>
      </c>
      <c r="V34" s="15">
        <v>85.5</v>
      </c>
      <c r="W34" s="15">
        <v>85.4</v>
      </c>
      <c r="X34" s="15"/>
      <c r="Y34" s="15">
        <v>84.6</v>
      </c>
      <c r="Z34" s="15">
        <v>85.7</v>
      </c>
      <c r="AA34" s="18">
        <v>84.9</v>
      </c>
      <c r="AB34" s="17">
        <v>85.9</v>
      </c>
      <c r="AC34" s="15">
        <v>84.5</v>
      </c>
      <c r="AD34" s="74" t="s">
        <v>7</v>
      </c>
      <c r="AE34" s="21">
        <f t="shared" si="1"/>
        <v>-1.4</v>
      </c>
      <c r="AF34" s="21">
        <f t="shared" si="7"/>
        <v>1.3</v>
      </c>
      <c r="AG34" s="83">
        <v>2.352553146E9</v>
      </c>
    </row>
    <row r="35" ht="15.75" customHeight="1">
      <c r="A35" s="31" t="s">
        <v>142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5"/>
      <c r="X35" s="15"/>
      <c r="Y35" s="15"/>
      <c r="Z35" s="15"/>
      <c r="AA35" s="15">
        <v>51.4</v>
      </c>
      <c r="AB35" s="15">
        <v>51.4</v>
      </c>
      <c r="AC35" s="15">
        <v>51.9</v>
      </c>
      <c r="AE35" s="21">
        <f t="shared" si="1"/>
        <v>0.5</v>
      </c>
    </row>
    <row r="36" ht="15.75" customHeight="1">
      <c r="A36" s="84" t="s">
        <v>143</v>
      </c>
      <c r="B36" s="37"/>
      <c r="C36" s="37"/>
      <c r="R36" s="37"/>
      <c r="T36" s="31">
        <v>94.1</v>
      </c>
      <c r="U36" s="31">
        <v>94.0</v>
      </c>
      <c r="V36" s="31" t="s">
        <v>144</v>
      </c>
      <c r="W36" s="31">
        <v>94.0</v>
      </c>
      <c r="Y36" s="31">
        <v>94.3</v>
      </c>
      <c r="Z36" s="31">
        <v>95.1</v>
      </c>
      <c r="AA36" s="31">
        <v>95.3</v>
      </c>
      <c r="AB36" s="31">
        <v>96.0</v>
      </c>
      <c r="AC36" s="15">
        <v>94.7</v>
      </c>
      <c r="AE36" s="21">
        <f t="shared" si="1"/>
        <v>-1.3</v>
      </c>
    </row>
    <row r="37" ht="15.75" customHeight="1">
      <c r="A37" s="58" t="s">
        <v>91</v>
      </c>
      <c r="B37" s="37"/>
      <c r="C37" s="37"/>
      <c r="R37" s="37"/>
    </row>
    <row r="38" ht="15.75" customHeight="1">
      <c r="A38" s="31" t="s">
        <v>145</v>
      </c>
      <c r="B38" s="37"/>
      <c r="C38" s="37"/>
      <c r="R38" s="37"/>
      <c r="AC38" s="31">
        <v>78.9</v>
      </c>
    </row>
    <row r="39" ht="15.75" customHeight="1">
      <c r="B39" s="37"/>
      <c r="C39" s="37"/>
      <c r="R39" s="37"/>
    </row>
    <row r="40" ht="15.75" customHeight="1">
      <c r="B40" s="37"/>
      <c r="C40" s="37"/>
      <c r="R40" s="37"/>
    </row>
    <row r="41" ht="15.75" customHeight="1">
      <c r="B41" s="37"/>
      <c r="C41" s="37"/>
      <c r="R41" s="37"/>
    </row>
    <row r="42" ht="15.75" customHeight="1">
      <c r="B42" s="37"/>
      <c r="C42" s="37"/>
      <c r="R42" s="37"/>
    </row>
    <row r="43" ht="15.75" customHeight="1">
      <c r="A43" s="61" t="s">
        <v>146</v>
      </c>
      <c r="B43" s="60"/>
      <c r="C43" s="60">
        <v>73.3</v>
      </c>
      <c r="D43" s="60">
        <v>73.3</v>
      </c>
      <c r="E43" s="60">
        <v>73.6</v>
      </c>
      <c r="F43" s="60"/>
      <c r="G43" s="85"/>
      <c r="H43" s="60"/>
      <c r="I43" s="60"/>
      <c r="J43" s="61"/>
      <c r="K43" s="60"/>
      <c r="L43" s="86"/>
      <c r="M43" s="60"/>
      <c r="N43" s="60"/>
      <c r="O43" s="86"/>
      <c r="P43" s="34"/>
      <c r="Q43" s="62"/>
      <c r="R43" s="86" t="s">
        <v>147</v>
      </c>
      <c r="S43" s="15"/>
      <c r="T43" s="37"/>
      <c r="U43" s="15"/>
      <c r="V43" s="87"/>
      <c r="W43" s="15"/>
      <c r="X43" s="88"/>
      <c r="Y43" s="88"/>
      <c r="Z43" s="88"/>
      <c r="AA43" s="88"/>
      <c r="AB43" s="88"/>
      <c r="AC43" s="88"/>
      <c r="AD43" s="27"/>
      <c r="AE43" s="60">
        <f t="shared" ref="AE43:AE44" si="8">K43-D43</f>
        <v>-73.3</v>
      </c>
      <c r="AF43" s="34"/>
    </row>
    <row r="44" ht="15.75" customHeight="1">
      <c r="A44" s="61" t="s">
        <v>148</v>
      </c>
      <c r="B44" s="60"/>
      <c r="C44" s="60">
        <v>80.2</v>
      </c>
      <c r="D44" s="60">
        <v>78.7</v>
      </c>
      <c r="E44" s="60"/>
      <c r="F44" s="60">
        <v>76.2</v>
      </c>
      <c r="G44" s="85"/>
      <c r="H44" s="60"/>
      <c r="I44" s="60"/>
      <c r="J44" s="61"/>
      <c r="K44" s="60"/>
      <c r="L44" s="60"/>
      <c r="M44" s="60"/>
      <c r="N44" s="60"/>
      <c r="O44" s="60"/>
      <c r="P44" s="61"/>
      <c r="Q44" s="62"/>
      <c r="R44" s="60" t="s">
        <v>147</v>
      </c>
      <c r="S44" s="15"/>
      <c r="T44" s="15"/>
      <c r="U44" s="15"/>
      <c r="V44" s="87"/>
      <c r="W44" s="15"/>
      <c r="X44" s="89"/>
      <c r="Y44" s="89"/>
      <c r="Z44" s="89"/>
      <c r="AA44" s="89"/>
      <c r="AB44" s="89"/>
      <c r="AC44" s="89"/>
      <c r="AD44" s="20"/>
      <c r="AE44" s="60">
        <f t="shared" si="8"/>
        <v>-78.7</v>
      </c>
      <c r="AF44" s="34"/>
    </row>
    <row r="45" ht="15.75" customHeight="1">
      <c r="A45" s="61" t="s">
        <v>149</v>
      </c>
      <c r="B45" s="60"/>
      <c r="C45" s="60">
        <v>59.6</v>
      </c>
      <c r="D45" s="60">
        <v>60.4</v>
      </c>
      <c r="E45" s="60"/>
      <c r="F45" s="60">
        <v>59.8</v>
      </c>
      <c r="G45" s="79">
        <v>59.5</v>
      </c>
      <c r="H45" s="60">
        <v>60.0</v>
      </c>
      <c r="I45" s="60">
        <v>61.0</v>
      </c>
      <c r="J45" s="61">
        <v>60.7</v>
      </c>
      <c r="K45" s="60">
        <v>61.2</v>
      </c>
      <c r="L45" s="86">
        <v>61.2</v>
      </c>
      <c r="M45" s="60">
        <v>61.4</v>
      </c>
      <c r="N45" s="60">
        <v>61.6</v>
      </c>
      <c r="O45" s="60"/>
      <c r="P45" s="61"/>
      <c r="Q45" s="62"/>
      <c r="R45" s="86" t="s">
        <v>150</v>
      </c>
      <c r="S45" s="15"/>
      <c r="T45" s="37"/>
      <c r="U45" s="15"/>
      <c r="V45" s="87"/>
      <c r="W45" s="15"/>
      <c r="X45" s="90"/>
      <c r="Y45" s="90"/>
      <c r="Z45" s="90"/>
      <c r="AA45" s="90"/>
      <c r="AB45" s="90"/>
      <c r="AC45" s="90"/>
      <c r="AD45" s="91"/>
      <c r="AE45" s="34"/>
      <c r="AF45" s="34"/>
    </row>
    <row r="46" ht="15.75" customHeight="1">
      <c r="A46" s="13" t="s">
        <v>151</v>
      </c>
      <c r="B46" s="15"/>
      <c r="C46" s="15">
        <v>69.2</v>
      </c>
      <c r="D46" s="15">
        <v>68.2</v>
      </c>
      <c r="E46" s="15">
        <v>68.4</v>
      </c>
      <c r="F46" s="15"/>
      <c r="G46" s="73">
        <v>68.7</v>
      </c>
      <c r="H46" s="15"/>
      <c r="I46" s="15"/>
      <c r="J46" s="13"/>
      <c r="K46" s="15"/>
      <c r="L46" s="15"/>
      <c r="M46" s="15"/>
      <c r="N46" s="15"/>
      <c r="O46" s="18"/>
      <c r="P46" s="18"/>
      <c r="Q46" s="18"/>
      <c r="R46" s="17"/>
      <c r="S46" s="15"/>
      <c r="T46" s="15"/>
      <c r="U46" s="15"/>
      <c r="V46" s="87"/>
      <c r="W46" s="15"/>
      <c r="X46" s="90"/>
      <c r="Y46" s="90"/>
      <c r="Z46" s="90"/>
      <c r="AA46" s="90"/>
      <c r="AB46" s="90"/>
      <c r="AC46" s="90"/>
      <c r="AD46" s="91"/>
      <c r="AE46" s="15">
        <f>K46-D46</f>
        <v>-68.2</v>
      </c>
    </row>
    <row r="47" ht="15.75" customHeight="1">
      <c r="B47" s="37"/>
      <c r="C47" s="37"/>
      <c r="R47" s="37"/>
    </row>
    <row r="48" ht="15.75" customHeight="1">
      <c r="B48" s="37"/>
      <c r="C48" s="37"/>
      <c r="R48" s="37"/>
    </row>
    <row r="49" ht="15.75" customHeight="1">
      <c r="B49" s="37"/>
      <c r="C49" s="37"/>
      <c r="R49" s="37"/>
    </row>
    <row r="50" ht="15.75" customHeight="1">
      <c r="B50" s="37"/>
      <c r="C50" s="37"/>
      <c r="R50" s="37"/>
    </row>
    <row r="51" ht="15.75" customHeight="1">
      <c r="B51" s="37"/>
      <c r="C51" s="37"/>
      <c r="R51" s="37"/>
    </row>
    <row r="52" ht="15.75" customHeight="1">
      <c r="B52" s="37"/>
      <c r="C52" s="37"/>
      <c r="R52" s="37"/>
    </row>
    <row r="53" ht="15.75" customHeight="1">
      <c r="B53" s="37"/>
      <c r="C53" s="37"/>
      <c r="R53" s="37"/>
    </row>
    <row r="54" ht="15.75" customHeight="1">
      <c r="B54" s="37"/>
      <c r="C54" s="37"/>
      <c r="R54" s="37"/>
    </row>
    <row r="55" ht="15.75" customHeight="1">
      <c r="B55" s="37"/>
      <c r="C55" s="37"/>
      <c r="R55" s="37"/>
    </row>
    <row r="56" ht="15.75" customHeight="1">
      <c r="B56" s="37"/>
      <c r="C56" s="37"/>
      <c r="R56" s="37"/>
    </row>
    <row r="57" ht="15.75" customHeight="1">
      <c r="B57" s="37"/>
      <c r="C57" s="37"/>
      <c r="R57" s="37"/>
    </row>
    <row r="58" ht="15.75" customHeight="1">
      <c r="B58" s="37"/>
      <c r="C58" s="37"/>
      <c r="R58" s="37"/>
    </row>
    <row r="59" ht="15.75" customHeight="1">
      <c r="B59" s="37"/>
      <c r="C59" s="37"/>
      <c r="R59" s="37"/>
    </row>
    <row r="60" ht="15.75" customHeight="1">
      <c r="B60" s="37"/>
      <c r="C60" s="37"/>
      <c r="R60" s="37"/>
    </row>
    <row r="61" ht="15.75" customHeight="1">
      <c r="B61" s="37"/>
      <c r="C61" s="37"/>
      <c r="R61" s="37"/>
    </row>
    <row r="62" ht="15.75" customHeight="1">
      <c r="B62" s="37"/>
      <c r="C62" s="37"/>
      <c r="R62" s="37"/>
    </row>
    <row r="63" ht="15.75" customHeight="1">
      <c r="B63" s="37"/>
      <c r="C63" s="37"/>
      <c r="R63" s="37"/>
    </row>
    <row r="64" ht="15.75" customHeight="1">
      <c r="B64" s="37"/>
      <c r="C64" s="37"/>
      <c r="R64" s="37"/>
    </row>
    <row r="65" ht="15.75" customHeight="1">
      <c r="B65" s="37"/>
      <c r="C65" s="37"/>
      <c r="R65" s="37"/>
    </row>
    <row r="66" ht="15.75" customHeight="1">
      <c r="B66" s="37"/>
      <c r="C66" s="37"/>
      <c r="R66" s="37"/>
    </row>
    <row r="67" ht="15.75" customHeight="1">
      <c r="B67" s="37"/>
      <c r="C67" s="37"/>
      <c r="R67" s="37"/>
    </row>
    <row r="68" ht="15.75" customHeight="1">
      <c r="B68" s="37"/>
      <c r="C68" s="37"/>
      <c r="R68" s="37"/>
    </row>
    <row r="69" ht="15.75" customHeight="1">
      <c r="B69" s="37"/>
      <c r="C69" s="37"/>
      <c r="R69" s="37"/>
    </row>
    <row r="70" ht="15.75" customHeight="1">
      <c r="B70" s="37"/>
      <c r="C70" s="37"/>
      <c r="R70" s="37"/>
    </row>
    <row r="71" ht="15.75" customHeight="1">
      <c r="B71" s="37"/>
      <c r="C71" s="37"/>
      <c r="R71" s="37"/>
    </row>
    <row r="72" ht="15.75" customHeight="1">
      <c r="B72" s="37"/>
      <c r="C72" s="37"/>
      <c r="R72" s="37"/>
    </row>
    <row r="73" ht="15.75" customHeight="1">
      <c r="B73" s="37"/>
      <c r="C73" s="37"/>
      <c r="R73" s="37"/>
    </row>
    <row r="74" ht="15.75" customHeight="1">
      <c r="B74" s="37"/>
      <c r="C74" s="37"/>
      <c r="R74" s="37"/>
    </row>
    <row r="75" ht="15.75" customHeight="1">
      <c r="B75" s="37"/>
      <c r="C75" s="37"/>
      <c r="R75" s="37"/>
    </row>
    <row r="76" ht="15.75" customHeight="1">
      <c r="B76" s="37"/>
      <c r="C76" s="37"/>
      <c r="R76" s="37"/>
    </row>
    <row r="77" ht="15.75" customHeight="1">
      <c r="B77" s="37"/>
      <c r="C77" s="37"/>
      <c r="R77" s="37"/>
    </row>
    <row r="78" ht="15.75" customHeight="1">
      <c r="B78" s="37"/>
      <c r="C78" s="37"/>
      <c r="R78" s="37"/>
    </row>
    <row r="79" ht="15.75" customHeight="1">
      <c r="B79" s="37"/>
      <c r="C79" s="37"/>
      <c r="R79" s="37"/>
    </row>
    <row r="80" ht="15.75" customHeight="1">
      <c r="B80" s="37"/>
      <c r="C80" s="37"/>
      <c r="R80" s="37"/>
    </row>
    <row r="81" ht="15.75" customHeight="1">
      <c r="B81" s="37"/>
      <c r="C81" s="37"/>
      <c r="R81" s="37"/>
    </row>
    <row r="82" ht="15.75" customHeight="1">
      <c r="B82" s="37"/>
      <c r="C82" s="37"/>
      <c r="R82" s="37"/>
    </row>
    <row r="83" ht="15.75" customHeight="1">
      <c r="B83" s="37"/>
      <c r="C83" s="37"/>
      <c r="R83" s="37"/>
    </row>
    <row r="84" ht="15.75" customHeight="1">
      <c r="B84" s="37"/>
      <c r="C84" s="37"/>
      <c r="R84" s="37"/>
    </row>
    <row r="85" ht="15.75" customHeight="1">
      <c r="B85" s="37"/>
      <c r="C85" s="37"/>
      <c r="R85" s="37"/>
    </row>
    <row r="86" ht="15.75" customHeight="1">
      <c r="B86" s="37"/>
      <c r="C86" s="37"/>
      <c r="R86" s="37"/>
    </row>
    <row r="87" ht="15.75" customHeight="1">
      <c r="B87" s="37"/>
      <c r="C87" s="37"/>
      <c r="R87" s="37"/>
    </row>
    <row r="88" ht="15.75" customHeight="1">
      <c r="B88" s="37"/>
      <c r="C88" s="37"/>
      <c r="R88" s="37"/>
    </row>
    <row r="89" ht="15.75" customHeight="1">
      <c r="B89" s="37"/>
      <c r="C89" s="37"/>
      <c r="R89" s="37"/>
    </row>
    <row r="90" ht="15.75" customHeight="1">
      <c r="B90" s="37"/>
      <c r="C90" s="37"/>
      <c r="R90" s="37"/>
    </row>
    <row r="91" ht="15.75" customHeight="1">
      <c r="B91" s="37"/>
      <c r="C91" s="37"/>
      <c r="R91" s="37"/>
    </row>
    <row r="92" ht="15.75" customHeight="1">
      <c r="B92" s="37"/>
      <c r="C92" s="37"/>
      <c r="R92" s="37"/>
    </row>
    <row r="93" ht="15.75" customHeight="1">
      <c r="B93" s="37"/>
      <c r="C93" s="37"/>
      <c r="R93" s="37"/>
    </row>
    <row r="94" ht="15.75" customHeight="1">
      <c r="B94" s="37"/>
      <c r="C94" s="37"/>
      <c r="R94" s="37"/>
    </row>
    <row r="95" ht="15.75" customHeight="1">
      <c r="B95" s="37"/>
      <c r="C95" s="37"/>
      <c r="R95" s="37"/>
    </row>
    <row r="96" ht="15.75" customHeight="1">
      <c r="B96" s="37"/>
      <c r="C96" s="37"/>
      <c r="R96" s="37"/>
    </row>
    <row r="97" ht="15.75" customHeight="1">
      <c r="B97" s="37"/>
      <c r="C97" s="37"/>
      <c r="R97" s="37"/>
    </row>
    <row r="98" ht="15.75" customHeight="1">
      <c r="B98" s="37"/>
      <c r="C98" s="37"/>
      <c r="R98" s="37"/>
    </row>
    <row r="99" ht="15.75" customHeight="1">
      <c r="B99" s="37"/>
      <c r="C99" s="37"/>
      <c r="R99" s="37"/>
    </row>
    <row r="100" ht="15.75" customHeight="1">
      <c r="B100" s="37"/>
      <c r="C100" s="37"/>
      <c r="R100" s="37"/>
    </row>
    <row r="101" ht="15.75" customHeight="1">
      <c r="B101" s="37"/>
      <c r="C101" s="37"/>
      <c r="R101" s="37"/>
    </row>
    <row r="102" ht="15.75" customHeight="1">
      <c r="B102" s="37"/>
      <c r="C102" s="37"/>
      <c r="R102" s="37"/>
    </row>
    <row r="103" ht="15.75" customHeight="1">
      <c r="B103" s="37"/>
      <c r="C103" s="37"/>
      <c r="R103" s="37"/>
    </row>
    <row r="104" ht="15.75" customHeight="1">
      <c r="B104" s="37"/>
      <c r="C104" s="37"/>
      <c r="R104" s="37"/>
    </row>
    <row r="105" ht="15.75" customHeight="1">
      <c r="B105" s="37"/>
      <c r="C105" s="37"/>
    </row>
    <row r="106" ht="15.75" customHeight="1">
      <c r="B106" s="37"/>
      <c r="C106" s="37"/>
    </row>
    <row r="107" ht="15.75" customHeight="1">
      <c r="B107" s="37"/>
      <c r="C107" s="37"/>
    </row>
    <row r="108" ht="15.75" customHeight="1">
      <c r="B108" s="37"/>
      <c r="C108" s="37"/>
    </row>
    <row r="109" ht="15.75" customHeight="1">
      <c r="B109" s="37"/>
      <c r="C109" s="37"/>
    </row>
    <row r="110" ht="15.75" customHeight="1">
      <c r="B110" s="37"/>
      <c r="C110" s="37"/>
    </row>
    <row r="111" ht="15.75" customHeight="1">
      <c r="B111" s="37"/>
      <c r="C111" s="37"/>
    </row>
    <row r="112" ht="15.75" customHeight="1">
      <c r="B112" s="37"/>
      <c r="C112" s="37"/>
    </row>
    <row r="113" ht="15.75" customHeight="1">
      <c r="B113" s="37"/>
      <c r="C113" s="37"/>
    </row>
    <row r="114" ht="15.75" customHeight="1">
      <c r="B114" s="37"/>
      <c r="C114" s="37"/>
    </row>
    <row r="115" ht="15.75" customHeight="1">
      <c r="B115" s="37"/>
      <c r="C115" s="37"/>
    </row>
    <row r="116" ht="15.75" customHeight="1">
      <c r="B116" s="37"/>
      <c r="C116" s="37"/>
    </row>
    <row r="117" ht="15.75" customHeight="1">
      <c r="B117" s="37"/>
      <c r="C117" s="37"/>
    </row>
    <row r="118" ht="15.75" customHeight="1">
      <c r="B118" s="37"/>
      <c r="C118" s="37"/>
    </row>
    <row r="119" ht="15.75" customHeight="1">
      <c r="B119" s="37"/>
      <c r="C119" s="37"/>
    </row>
    <row r="120" ht="15.75" customHeight="1">
      <c r="B120" s="37"/>
      <c r="C120" s="37"/>
    </row>
    <row r="121" ht="15.75" customHeight="1">
      <c r="B121" s="37"/>
      <c r="C121" s="37"/>
    </row>
    <row r="122" ht="15.75" customHeight="1">
      <c r="B122" s="37"/>
      <c r="C122" s="37"/>
    </row>
    <row r="123" ht="15.75" customHeight="1">
      <c r="B123" s="37"/>
      <c r="C123" s="37"/>
    </row>
    <row r="124" ht="15.75" customHeight="1">
      <c r="B124" s="37"/>
      <c r="C124" s="37"/>
    </row>
    <row r="125" ht="15.75" customHeight="1">
      <c r="B125" s="37"/>
      <c r="C125" s="37"/>
    </row>
    <row r="126" ht="15.75" customHeight="1">
      <c r="B126" s="37"/>
      <c r="C126" s="37"/>
    </row>
    <row r="127" ht="15.75" customHeight="1">
      <c r="B127" s="37"/>
      <c r="C127" s="37"/>
    </row>
    <row r="128" ht="15.75" customHeight="1">
      <c r="B128" s="37"/>
      <c r="C128" s="37"/>
    </row>
    <row r="129" ht="15.75" customHeight="1">
      <c r="B129" s="37"/>
      <c r="C129" s="37"/>
    </row>
    <row r="130" ht="15.75" customHeight="1">
      <c r="B130" s="37"/>
      <c r="C130" s="37"/>
    </row>
    <row r="131" ht="15.75" customHeight="1">
      <c r="B131" s="37"/>
      <c r="C131" s="37"/>
    </row>
    <row r="132" ht="15.75" customHeight="1">
      <c r="B132" s="37"/>
      <c r="C132" s="37"/>
    </row>
    <row r="133" ht="15.75" customHeight="1">
      <c r="B133" s="37"/>
      <c r="C133" s="37"/>
    </row>
    <row r="134" ht="15.75" customHeight="1">
      <c r="B134" s="37"/>
      <c r="C134" s="37"/>
    </row>
    <row r="135" ht="15.75" customHeight="1">
      <c r="B135" s="37"/>
      <c r="C135" s="37"/>
    </row>
    <row r="136" ht="15.75" customHeight="1">
      <c r="B136" s="37"/>
      <c r="C136" s="37"/>
    </row>
    <row r="137" ht="15.75" customHeight="1">
      <c r="B137" s="37"/>
      <c r="C137" s="37"/>
    </row>
    <row r="138" ht="15.75" customHeight="1">
      <c r="B138" s="37"/>
      <c r="C138" s="37"/>
    </row>
    <row r="139" ht="15.75" customHeight="1">
      <c r="B139" s="37"/>
      <c r="C139" s="37"/>
    </row>
    <row r="140" ht="15.75" customHeight="1">
      <c r="B140" s="37"/>
      <c r="C140" s="37"/>
    </row>
    <row r="141" ht="15.75" customHeight="1">
      <c r="B141" s="37"/>
      <c r="C141" s="37"/>
    </row>
    <row r="142" ht="15.75" customHeight="1">
      <c r="B142" s="37"/>
      <c r="C142" s="37"/>
    </row>
    <row r="143" ht="15.75" customHeight="1">
      <c r="B143" s="37"/>
      <c r="C143" s="37"/>
    </row>
    <row r="144" ht="15.75" customHeight="1">
      <c r="B144" s="37"/>
      <c r="C144" s="37"/>
    </row>
    <row r="145" ht="15.75" customHeight="1">
      <c r="B145" s="37"/>
      <c r="C145" s="37"/>
    </row>
    <row r="146" ht="15.75" customHeight="1">
      <c r="B146" s="37"/>
      <c r="C146" s="37"/>
    </row>
    <row r="147" ht="15.75" customHeight="1">
      <c r="B147" s="37"/>
      <c r="C147" s="37"/>
    </row>
    <row r="148" ht="15.75" customHeight="1">
      <c r="B148" s="37"/>
      <c r="C148" s="37"/>
    </row>
    <row r="149" ht="15.75" customHeight="1">
      <c r="B149" s="37"/>
      <c r="C149" s="37"/>
    </row>
    <row r="150" ht="15.75" customHeight="1">
      <c r="B150" s="37"/>
      <c r="C150" s="37"/>
    </row>
    <row r="151" ht="15.75" customHeight="1">
      <c r="B151" s="37"/>
      <c r="C151" s="37"/>
    </row>
    <row r="152" ht="15.75" customHeight="1">
      <c r="B152" s="37"/>
      <c r="C152" s="37"/>
    </row>
    <row r="153" ht="15.75" customHeight="1">
      <c r="B153" s="37"/>
      <c r="C153" s="37"/>
    </row>
    <row r="154" ht="15.75" customHeight="1">
      <c r="B154" s="37"/>
      <c r="C154" s="37"/>
    </row>
    <row r="155" ht="15.75" customHeight="1">
      <c r="B155" s="37"/>
      <c r="C155" s="37"/>
    </row>
    <row r="156" ht="15.75" customHeight="1">
      <c r="B156" s="37"/>
      <c r="C156" s="37"/>
    </row>
    <row r="157" ht="15.75" customHeight="1">
      <c r="B157" s="37"/>
      <c r="C157" s="37"/>
    </row>
    <row r="158" ht="15.75" customHeight="1">
      <c r="B158" s="37"/>
      <c r="C158" s="37"/>
    </row>
    <row r="159" ht="15.75" customHeight="1">
      <c r="B159" s="37"/>
      <c r="C159" s="37"/>
    </row>
    <row r="160" ht="15.75" customHeight="1">
      <c r="B160" s="37"/>
      <c r="C160" s="37"/>
    </row>
    <row r="161" ht="15.75" customHeight="1">
      <c r="B161" s="37"/>
      <c r="C161" s="37"/>
    </row>
    <row r="162" ht="15.75" customHeight="1">
      <c r="B162" s="37"/>
      <c r="C162" s="37"/>
    </row>
    <row r="163" ht="15.75" customHeight="1">
      <c r="B163" s="37"/>
      <c r="C163" s="37"/>
    </row>
    <row r="164" ht="15.75" customHeight="1">
      <c r="B164" s="37"/>
      <c r="C164" s="37"/>
    </row>
    <row r="165" ht="15.75" customHeight="1">
      <c r="B165" s="37"/>
      <c r="C165" s="37"/>
    </row>
    <row r="166" ht="15.75" customHeight="1">
      <c r="B166" s="37"/>
      <c r="C166" s="37"/>
    </row>
    <row r="167" ht="15.75" customHeight="1">
      <c r="B167" s="37"/>
      <c r="C167" s="37"/>
    </row>
    <row r="168" ht="15.75" customHeight="1">
      <c r="B168" s="37"/>
      <c r="C168" s="37"/>
    </row>
    <row r="169" ht="15.75" customHeight="1">
      <c r="B169" s="37"/>
      <c r="C169" s="37"/>
    </row>
    <row r="170" ht="15.75" customHeight="1">
      <c r="B170" s="37"/>
      <c r="C170" s="37"/>
    </row>
    <row r="171" ht="15.75" customHeight="1">
      <c r="B171" s="37"/>
      <c r="C171" s="37"/>
    </row>
    <row r="172" ht="15.75" customHeight="1">
      <c r="B172" s="37"/>
      <c r="C172" s="37"/>
    </row>
    <row r="173" ht="15.75" customHeight="1">
      <c r="B173" s="37"/>
      <c r="C173" s="37"/>
    </row>
    <row r="174" ht="15.75" customHeight="1">
      <c r="B174" s="37"/>
      <c r="C174" s="37"/>
    </row>
    <row r="175" ht="15.75" customHeight="1">
      <c r="B175" s="37"/>
      <c r="C175" s="37"/>
    </row>
    <row r="176" ht="15.75" customHeight="1">
      <c r="B176" s="37"/>
      <c r="C176" s="37"/>
    </row>
    <row r="177" ht="15.75" customHeight="1">
      <c r="B177" s="37"/>
      <c r="C177" s="37"/>
    </row>
    <row r="178" ht="15.75" customHeight="1">
      <c r="B178" s="37"/>
      <c r="C178" s="37"/>
    </row>
    <row r="179" ht="15.75" customHeight="1">
      <c r="B179" s="37"/>
      <c r="C179" s="37"/>
    </row>
    <row r="180" ht="15.75" customHeight="1">
      <c r="B180" s="37"/>
      <c r="C180" s="37"/>
    </row>
    <row r="181" ht="15.75" customHeight="1">
      <c r="B181" s="37"/>
      <c r="C181" s="37"/>
    </row>
    <row r="182" ht="15.75" customHeight="1">
      <c r="B182" s="37"/>
      <c r="C182" s="37"/>
    </row>
    <row r="183" ht="15.75" customHeight="1">
      <c r="B183" s="37"/>
      <c r="C183" s="37"/>
    </row>
    <row r="184" ht="15.75" customHeight="1">
      <c r="B184" s="37"/>
      <c r="C184" s="37"/>
    </row>
    <row r="185" ht="15.75" customHeight="1">
      <c r="B185" s="37"/>
      <c r="C185" s="37"/>
    </row>
    <row r="186" ht="15.75" customHeight="1">
      <c r="B186" s="37"/>
      <c r="C186" s="37"/>
    </row>
    <row r="187" ht="15.75" customHeight="1">
      <c r="B187" s="37"/>
      <c r="C187" s="37"/>
    </row>
    <row r="188" ht="15.75" customHeight="1">
      <c r="B188" s="37"/>
      <c r="C188" s="37"/>
    </row>
    <row r="189" ht="15.75" customHeight="1">
      <c r="B189" s="37"/>
      <c r="C189" s="37"/>
    </row>
    <row r="190" ht="15.75" customHeight="1">
      <c r="B190" s="37"/>
      <c r="C190" s="37"/>
    </row>
    <row r="191" ht="15.75" customHeight="1">
      <c r="B191" s="37"/>
      <c r="C191" s="37"/>
    </row>
    <row r="192" ht="15.75" customHeight="1">
      <c r="B192" s="37"/>
      <c r="C192" s="37"/>
    </row>
    <row r="193" ht="15.75" customHeight="1">
      <c r="B193" s="37"/>
      <c r="C193" s="37"/>
    </row>
    <row r="194" ht="15.75" customHeight="1">
      <c r="B194" s="37"/>
      <c r="C194" s="37"/>
    </row>
    <row r="195" ht="15.75" customHeight="1">
      <c r="B195" s="37"/>
      <c r="C195" s="37"/>
    </row>
    <row r="196" ht="15.75" customHeight="1">
      <c r="B196" s="37"/>
      <c r="C196" s="37"/>
    </row>
    <row r="197" ht="15.75" customHeight="1">
      <c r="B197" s="37"/>
      <c r="C197" s="37"/>
    </row>
    <row r="198" ht="15.75" customHeight="1">
      <c r="B198" s="37"/>
      <c r="C198" s="37"/>
    </row>
    <row r="199" ht="15.75" customHeight="1">
      <c r="B199" s="37"/>
      <c r="C199" s="37"/>
    </row>
    <row r="200" ht="15.75" customHeight="1">
      <c r="B200" s="37"/>
      <c r="C200" s="37"/>
    </row>
    <row r="201" ht="15.75" customHeight="1">
      <c r="B201" s="37"/>
      <c r="C201" s="37"/>
    </row>
    <row r="202" ht="15.75" customHeight="1">
      <c r="B202" s="37"/>
      <c r="C202" s="37"/>
    </row>
    <row r="203" ht="15.75" customHeight="1">
      <c r="B203" s="37"/>
      <c r="C203" s="37"/>
    </row>
    <row r="204" ht="15.75" customHeight="1">
      <c r="B204" s="37"/>
      <c r="C204" s="37"/>
    </row>
    <row r="205" ht="15.75" customHeight="1">
      <c r="B205" s="37"/>
      <c r="C205" s="37"/>
    </row>
    <row r="206" ht="15.75" customHeight="1">
      <c r="B206" s="37"/>
      <c r="C206" s="37"/>
    </row>
    <row r="207" ht="15.75" customHeight="1">
      <c r="B207" s="37"/>
      <c r="C207" s="37"/>
    </row>
    <row r="208" ht="15.75" customHeight="1">
      <c r="B208" s="37"/>
      <c r="C208" s="37"/>
    </row>
    <row r="209" ht="15.75" customHeight="1">
      <c r="B209" s="37"/>
      <c r="C209" s="37"/>
    </row>
    <row r="210" ht="15.75" customHeight="1">
      <c r="B210" s="37"/>
      <c r="C210" s="37"/>
    </row>
    <row r="211" ht="15.75" customHeight="1">
      <c r="B211" s="37"/>
      <c r="C211" s="37"/>
    </row>
    <row r="212" ht="15.75" customHeight="1">
      <c r="B212" s="37"/>
      <c r="C212" s="37"/>
    </row>
    <row r="213" ht="15.75" customHeight="1">
      <c r="B213" s="37"/>
      <c r="C213" s="37"/>
    </row>
    <row r="214" ht="15.75" customHeight="1">
      <c r="B214" s="37"/>
      <c r="C214" s="37"/>
    </row>
    <row r="215" ht="15.75" customHeight="1">
      <c r="B215" s="37"/>
      <c r="C215" s="37"/>
    </row>
    <row r="216" ht="15.75" customHeight="1">
      <c r="B216" s="37"/>
      <c r="C216" s="37"/>
    </row>
    <row r="217" ht="15.75" customHeight="1">
      <c r="B217" s="37"/>
      <c r="C217" s="37"/>
    </row>
    <row r="218" ht="15.75" customHeight="1">
      <c r="B218" s="37"/>
      <c r="C218" s="37"/>
    </row>
    <row r="219" ht="15.75" customHeight="1">
      <c r="B219" s="37"/>
      <c r="C219" s="37"/>
    </row>
    <row r="220" ht="15.75" customHeight="1">
      <c r="B220" s="37"/>
      <c r="C220" s="37"/>
    </row>
    <row r="221" ht="15.75" customHeight="1">
      <c r="B221" s="37"/>
      <c r="C221" s="37"/>
    </row>
    <row r="222" ht="15.75" customHeight="1">
      <c r="B222" s="37"/>
      <c r="C222" s="37"/>
    </row>
    <row r="223" ht="15.75" customHeight="1">
      <c r="B223" s="37"/>
      <c r="C223" s="37"/>
    </row>
    <row r="224" ht="15.75" customHeight="1">
      <c r="B224" s="37"/>
      <c r="C224" s="37"/>
    </row>
    <row r="225" ht="15.75" customHeight="1">
      <c r="B225" s="37"/>
      <c r="C225" s="37"/>
    </row>
    <row r="226" ht="15.75" customHeight="1">
      <c r="B226" s="37"/>
      <c r="C226" s="37"/>
    </row>
    <row r="227" ht="15.75" customHeight="1">
      <c r="B227" s="37"/>
      <c r="C227" s="37"/>
    </row>
    <row r="228" ht="15.75" customHeight="1">
      <c r="B228" s="37"/>
      <c r="C228" s="37"/>
    </row>
    <row r="229" ht="15.75" customHeight="1">
      <c r="B229" s="37"/>
      <c r="C229" s="37"/>
    </row>
    <row r="230" ht="15.75" customHeight="1">
      <c r="B230" s="37"/>
      <c r="C230" s="37"/>
    </row>
    <row r="231" ht="15.75" customHeight="1">
      <c r="B231" s="37"/>
      <c r="C231" s="37"/>
    </row>
    <row r="232" ht="15.75" customHeight="1">
      <c r="B232" s="37"/>
      <c r="C232" s="37"/>
    </row>
    <row r="233" ht="15.75" customHeight="1">
      <c r="B233" s="37"/>
      <c r="C233" s="37"/>
    </row>
    <row r="234" ht="15.75" customHeight="1">
      <c r="B234" s="37"/>
      <c r="C234" s="37"/>
    </row>
    <row r="235" ht="15.75" customHeight="1">
      <c r="B235" s="37"/>
      <c r="C235" s="37"/>
    </row>
    <row r="236" ht="15.75" customHeight="1">
      <c r="B236" s="37"/>
      <c r="C236" s="37"/>
    </row>
    <row r="237" ht="15.75" customHeight="1">
      <c r="B237" s="37"/>
      <c r="C237" s="37"/>
    </row>
    <row r="238" ht="15.75" customHeight="1">
      <c r="B238" s="37"/>
      <c r="C238" s="37"/>
    </row>
    <row r="239" ht="15.75" customHeight="1">
      <c r="B239" s="37"/>
      <c r="C239" s="37"/>
    </row>
    <row r="240" ht="15.75" customHeight="1">
      <c r="B240" s="37"/>
      <c r="C240" s="37"/>
    </row>
    <row r="241" ht="15.75" customHeight="1">
      <c r="B241" s="37"/>
      <c r="C241" s="37"/>
    </row>
    <row r="242" ht="15.75" customHeight="1">
      <c r="B242" s="37"/>
      <c r="C242" s="37"/>
    </row>
    <row r="243" ht="15.75" customHeight="1">
      <c r="B243" s="37"/>
      <c r="C243" s="37"/>
    </row>
    <row r="244" ht="15.75" customHeight="1">
      <c r="B244" s="37"/>
      <c r="C244" s="37"/>
    </row>
    <row r="245" ht="15.75" customHeight="1">
      <c r="B245" s="37"/>
      <c r="C245" s="37"/>
    </row>
    <row r="246" ht="15.75" customHeight="1">
      <c r="B246" s="37"/>
      <c r="C246" s="37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AS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3.0"/>
    <col customWidth="1" min="2" max="2" width="6.0"/>
    <col customWidth="1" min="3" max="3" width="5.88"/>
    <col customWidth="1" min="4" max="4" width="6.63"/>
    <col customWidth="1" min="5" max="5" width="7.0"/>
    <col customWidth="1" min="6" max="6" width="6.75"/>
    <col customWidth="1" min="7" max="7" width="7.5"/>
    <col customWidth="1" min="8" max="9" width="7.75"/>
    <col customWidth="1" min="10" max="10" width="6.63"/>
    <col customWidth="1" min="11" max="12" width="5.13"/>
    <col customWidth="1" min="13" max="13" width="5.88"/>
    <col customWidth="1" min="14" max="14" width="8.13"/>
    <col customWidth="1" min="15" max="15" width="7.13"/>
    <col customWidth="1" min="16" max="16" width="6.75"/>
    <col customWidth="1" min="17" max="17" width="6.25"/>
    <col customWidth="1" min="18" max="18" width="7.0"/>
    <col customWidth="1" min="19" max="20" width="7.13"/>
    <col customWidth="1" min="21" max="21" width="6.75"/>
    <col customWidth="1" min="22" max="23" width="8.13"/>
    <col customWidth="1" min="24" max="27" width="7.5"/>
    <col customWidth="1" min="28" max="28" width="8.25"/>
    <col customWidth="1" min="29" max="29" width="15.63"/>
  </cols>
  <sheetData>
    <row r="1" ht="15.75" customHeight="1">
      <c r="A1" s="39" t="s">
        <v>152</v>
      </c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2"/>
      <c r="AT1" s="42"/>
      <c r="AU1" s="42"/>
    </row>
    <row r="2" ht="15.75" customHeight="1">
      <c r="A2" s="1" t="s">
        <v>0</v>
      </c>
      <c r="B2" s="3">
        <v>2024.0</v>
      </c>
      <c r="C2" s="4">
        <v>45679.0</v>
      </c>
      <c r="D2" s="4">
        <v>45686.0</v>
      </c>
      <c r="E2" s="4">
        <v>45693.0</v>
      </c>
      <c r="F2" s="5">
        <v>45728.0</v>
      </c>
      <c r="G2" s="5">
        <v>45735.0</v>
      </c>
      <c r="H2" s="5">
        <v>45749.0</v>
      </c>
      <c r="I2" s="6">
        <v>45756.0</v>
      </c>
      <c r="J2" s="6">
        <v>45763.0</v>
      </c>
      <c r="K2" s="6">
        <v>45770.0</v>
      </c>
      <c r="L2" s="6">
        <v>45777.0</v>
      </c>
      <c r="M2" s="6">
        <v>45784.0</v>
      </c>
      <c r="N2" s="6">
        <v>45791.0</v>
      </c>
      <c r="O2" s="7">
        <v>45798.0</v>
      </c>
      <c r="P2" s="7">
        <v>45805.0</v>
      </c>
      <c r="Q2" s="8">
        <v>45812.0</v>
      </c>
      <c r="R2" s="7">
        <v>45819.0</v>
      </c>
      <c r="S2" s="7">
        <v>45826.0</v>
      </c>
      <c r="T2" s="7">
        <v>45849.0</v>
      </c>
      <c r="U2" s="7">
        <v>45861.0</v>
      </c>
      <c r="V2" s="7">
        <v>45868.0</v>
      </c>
      <c r="W2" s="7">
        <v>45875.0</v>
      </c>
      <c r="X2" s="7">
        <v>45882.0</v>
      </c>
      <c r="Y2" s="7">
        <v>45889.0</v>
      </c>
      <c r="Z2" s="7">
        <v>45903.0</v>
      </c>
      <c r="AA2" s="7">
        <v>45910.0</v>
      </c>
      <c r="AB2" s="7">
        <v>45917.0</v>
      </c>
      <c r="AC2" s="9" t="s">
        <v>2</v>
      </c>
      <c r="AD2" s="9" t="s">
        <v>3</v>
      </c>
      <c r="AE2" s="9" t="s">
        <v>4</v>
      </c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11"/>
    </row>
    <row r="3" ht="15.75" customHeight="1">
      <c r="A3" s="13" t="s">
        <v>153</v>
      </c>
      <c r="B3" s="15"/>
      <c r="C3" s="15">
        <v>57.9</v>
      </c>
      <c r="D3" s="15">
        <v>59.6</v>
      </c>
      <c r="E3" s="15"/>
      <c r="F3" s="15">
        <v>58.7</v>
      </c>
      <c r="G3" s="73"/>
      <c r="H3" s="73">
        <v>58.1</v>
      </c>
      <c r="I3" s="73">
        <v>58.1</v>
      </c>
      <c r="J3" s="13">
        <v>58.0</v>
      </c>
      <c r="K3" s="13">
        <v>59.2</v>
      </c>
      <c r="L3" s="15"/>
      <c r="M3" s="15">
        <v>59.0</v>
      </c>
      <c r="N3" s="15">
        <v>58.0</v>
      </c>
      <c r="O3" s="33">
        <v>58.0</v>
      </c>
      <c r="P3" s="33">
        <v>58.2</v>
      </c>
      <c r="Q3" s="15">
        <v>58.7</v>
      </c>
      <c r="R3" s="73">
        <v>59.0</v>
      </c>
      <c r="S3" s="73">
        <v>59.5</v>
      </c>
      <c r="T3" s="73">
        <v>58.4</v>
      </c>
      <c r="U3" s="73">
        <v>59.3</v>
      </c>
      <c r="V3" s="73" t="s">
        <v>154</v>
      </c>
      <c r="W3" s="73"/>
      <c r="X3" s="73">
        <v>58.0</v>
      </c>
      <c r="Y3" s="73"/>
      <c r="Z3" s="73">
        <v>59.0</v>
      </c>
      <c r="AA3" s="73">
        <v>60.0</v>
      </c>
      <c r="AB3" s="18"/>
      <c r="AC3" s="93" t="s">
        <v>14</v>
      </c>
      <c r="AD3" s="21">
        <f t="shared" ref="AD3:AD41" si="1">AB3-AA3</f>
        <v>-60</v>
      </c>
      <c r="AE3" s="94"/>
      <c r="AK3" s="95"/>
      <c r="AL3" s="95"/>
      <c r="AM3" s="95"/>
      <c r="AN3" s="95"/>
      <c r="AO3" s="95"/>
      <c r="AP3" s="95"/>
      <c r="AQ3" s="95"/>
      <c r="AR3" s="95"/>
      <c r="AS3" s="95"/>
      <c r="AT3" s="95"/>
    </row>
    <row r="4" ht="15.75" customHeight="1">
      <c r="A4" s="13" t="s">
        <v>155</v>
      </c>
      <c r="B4" s="15">
        <v>67.6</v>
      </c>
      <c r="C4" s="15">
        <v>67.6</v>
      </c>
      <c r="D4" s="15">
        <v>66.8</v>
      </c>
      <c r="E4" s="15">
        <v>66.0</v>
      </c>
      <c r="F4" s="15">
        <v>67.0</v>
      </c>
      <c r="G4" s="73">
        <v>67.2</v>
      </c>
      <c r="H4" s="73">
        <v>67.7</v>
      </c>
      <c r="I4" s="73">
        <v>68.9</v>
      </c>
      <c r="J4" s="13">
        <v>68.0</v>
      </c>
      <c r="K4" s="13">
        <v>68.2</v>
      </c>
      <c r="L4" s="15">
        <v>67.8</v>
      </c>
      <c r="M4" s="15">
        <v>68.6</v>
      </c>
      <c r="N4" s="15">
        <v>69.9</v>
      </c>
      <c r="O4" s="33">
        <v>69.6</v>
      </c>
      <c r="P4" s="33">
        <v>69.9</v>
      </c>
      <c r="Q4" s="15">
        <v>69.4</v>
      </c>
      <c r="R4" s="73">
        <v>70.4</v>
      </c>
      <c r="S4" s="73">
        <v>69.8</v>
      </c>
      <c r="T4" s="73">
        <v>70.1</v>
      </c>
      <c r="U4" s="73">
        <v>70.5</v>
      </c>
      <c r="V4" s="73">
        <v>70.3</v>
      </c>
      <c r="W4" s="73">
        <v>70.7</v>
      </c>
      <c r="X4" s="73">
        <v>70.4</v>
      </c>
      <c r="Y4" s="73">
        <v>69.9</v>
      </c>
      <c r="Z4" s="73">
        <v>71.6</v>
      </c>
      <c r="AA4" s="73">
        <v>70.8</v>
      </c>
      <c r="AB4" s="18">
        <v>70.1</v>
      </c>
      <c r="AC4" s="96" t="s">
        <v>7</v>
      </c>
      <c r="AD4" s="21">
        <f t="shared" si="1"/>
        <v>-0.7</v>
      </c>
      <c r="AE4" s="94"/>
      <c r="AF4" s="31" t="s">
        <v>156</v>
      </c>
      <c r="AK4" s="95"/>
      <c r="AL4" s="95"/>
      <c r="AM4" s="95"/>
      <c r="AN4" s="95"/>
      <c r="AO4" s="95"/>
      <c r="AP4" s="95"/>
      <c r="AQ4" s="95"/>
      <c r="AR4" s="95"/>
      <c r="AS4" s="95"/>
      <c r="AT4" s="95"/>
    </row>
    <row r="5" ht="15.75" customHeight="1">
      <c r="A5" s="13" t="s">
        <v>157</v>
      </c>
      <c r="B5" s="15">
        <v>68.5</v>
      </c>
      <c r="C5" s="15">
        <v>67.9</v>
      </c>
      <c r="D5" s="15">
        <v>68.0</v>
      </c>
      <c r="E5" s="15">
        <v>68.2</v>
      </c>
      <c r="F5" s="15"/>
      <c r="G5" s="73">
        <v>65.6</v>
      </c>
      <c r="H5" s="73">
        <v>66.8</v>
      </c>
      <c r="I5" s="73">
        <v>67.4</v>
      </c>
      <c r="J5" s="13">
        <v>68.9</v>
      </c>
      <c r="K5" s="97">
        <v>69.6</v>
      </c>
      <c r="L5" s="98">
        <v>67.9</v>
      </c>
      <c r="M5" s="15"/>
      <c r="N5" s="15">
        <v>68.2</v>
      </c>
      <c r="O5" s="33">
        <v>69.0</v>
      </c>
      <c r="P5" s="33">
        <v>70.1</v>
      </c>
      <c r="Q5" s="15">
        <v>70.5</v>
      </c>
      <c r="R5" s="73">
        <v>70.6</v>
      </c>
      <c r="S5" s="73">
        <v>70.9</v>
      </c>
      <c r="T5" s="73">
        <v>71.0</v>
      </c>
      <c r="U5" s="73">
        <v>71.4</v>
      </c>
      <c r="V5" s="73" t="s">
        <v>158</v>
      </c>
      <c r="W5" s="73">
        <v>71.2</v>
      </c>
      <c r="X5" s="73">
        <v>70.7</v>
      </c>
      <c r="Y5" s="73">
        <v>71.1</v>
      </c>
      <c r="Z5" s="73">
        <v>70.9</v>
      </c>
      <c r="AA5" s="73">
        <v>70.9</v>
      </c>
      <c r="AB5" s="24">
        <v>70.5</v>
      </c>
      <c r="AC5" s="96" t="s">
        <v>7</v>
      </c>
      <c r="AD5" s="21">
        <f t="shared" si="1"/>
        <v>-0.4</v>
      </c>
      <c r="AE5" s="94"/>
      <c r="AK5" s="95"/>
      <c r="AL5" s="95"/>
      <c r="AM5" s="95"/>
      <c r="AN5" s="95"/>
      <c r="AO5" s="95"/>
      <c r="AP5" s="95"/>
      <c r="AQ5" s="95"/>
      <c r="AR5" s="95"/>
      <c r="AS5" s="95"/>
      <c r="AT5" s="95"/>
    </row>
    <row r="6" ht="15.75" customHeight="1">
      <c r="A6" s="46" t="s">
        <v>159</v>
      </c>
      <c r="B6" s="15">
        <v>60.4</v>
      </c>
      <c r="C6" s="15">
        <v>58.6</v>
      </c>
      <c r="D6" s="15">
        <v>59.2</v>
      </c>
      <c r="E6" s="15">
        <v>60.0</v>
      </c>
      <c r="F6" s="15">
        <v>59.9</v>
      </c>
      <c r="G6" s="73">
        <v>59.6</v>
      </c>
      <c r="H6" s="73">
        <v>60.0</v>
      </c>
      <c r="I6" s="73">
        <v>61.1</v>
      </c>
      <c r="J6" s="13">
        <v>60.5</v>
      </c>
      <c r="K6" s="55">
        <v>67.1</v>
      </c>
      <c r="L6" s="53"/>
      <c r="M6" s="15">
        <v>61.7</v>
      </c>
      <c r="N6" s="15">
        <v>61.5</v>
      </c>
      <c r="O6" s="33">
        <v>61.4</v>
      </c>
      <c r="P6" s="33"/>
      <c r="Q6" s="15">
        <v>60.9</v>
      </c>
      <c r="R6" s="73">
        <v>60.8</v>
      </c>
      <c r="S6" s="73">
        <v>61.5</v>
      </c>
      <c r="T6" s="73">
        <v>61.7</v>
      </c>
      <c r="U6" s="73">
        <v>61.4</v>
      </c>
      <c r="V6" s="73">
        <v>62.1</v>
      </c>
      <c r="W6" s="73">
        <v>62.1</v>
      </c>
      <c r="X6" s="73">
        <v>63.0</v>
      </c>
      <c r="Y6" s="73">
        <v>62.7</v>
      </c>
      <c r="Z6" s="73">
        <v>61.6</v>
      </c>
      <c r="AA6" s="73">
        <v>62.3</v>
      </c>
      <c r="AB6" s="18">
        <v>62.1</v>
      </c>
      <c r="AC6" s="93" t="s">
        <v>14</v>
      </c>
      <c r="AD6" s="21">
        <f t="shared" si="1"/>
        <v>-0.2</v>
      </c>
      <c r="AE6" s="94"/>
      <c r="AK6" s="95"/>
      <c r="AL6" s="95"/>
      <c r="AM6" s="95"/>
      <c r="AN6" s="95"/>
      <c r="AO6" s="95"/>
      <c r="AP6" s="95"/>
      <c r="AQ6" s="95"/>
      <c r="AR6" s="95"/>
      <c r="AS6" s="95"/>
      <c r="AT6" s="95"/>
    </row>
    <row r="7" ht="15.75" customHeight="1">
      <c r="A7" s="13" t="s">
        <v>160</v>
      </c>
      <c r="B7" s="15">
        <v>64.0</v>
      </c>
      <c r="C7" s="15">
        <v>66.0</v>
      </c>
      <c r="D7" s="15">
        <v>64.2</v>
      </c>
      <c r="E7" s="15">
        <v>66.0</v>
      </c>
      <c r="F7" s="15">
        <v>65.0</v>
      </c>
      <c r="G7" s="73">
        <v>65.7</v>
      </c>
      <c r="H7" s="73">
        <v>66.4</v>
      </c>
      <c r="I7" s="73">
        <v>65.8</v>
      </c>
      <c r="J7" s="13">
        <v>66.9</v>
      </c>
      <c r="K7" s="13"/>
      <c r="L7" s="15"/>
      <c r="M7" s="15">
        <v>67.0</v>
      </c>
      <c r="N7" s="15">
        <v>66.5</v>
      </c>
      <c r="O7" s="33">
        <v>67.5</v>
      </c>
      <c r="P7" s="33">
        <v>67.5</v>
      </c>
      <c r="Q7" s="15">
        <v>67.7</v>
      </c>
      <c r="R7" s="73">
        <v>67.3</v>
      </c>
      <c r="S7" s="73">
        <v>68.0</v>
      </c>
      <c r="T7" s="73"/>
      <c r="U7" s="73">
        <v>66.9</v>
      </c>
      <c r="V7" s="73">
        <v>65.8</v>
      </c>
      <c r="W7" s="73">
        <v>66.1</v>
      </c>
      <c r="X7" s="73">
        <v>65.5</v>
      </c>
      <c r="Y7" s="73">
        <v>66.8</v>
      </c>
      <c r="Z7" s="73">
        <v>66.4</v>
      </c>
      <c r="AA7" s="73">
        <v>65.9</v>
      </c>
      <c r="AB7" s="18">
        <v>66.0</v>
      </c>
      <c r="AC7" s="93" t="s">
        <v>14</v>
      </c>
      <c r="AD7" s="21">
        <f t="shared" si="1"/>
        <v>0.1</v>
      </c>
      <c r="AE7" s="94"/>
      <c r="AK7" s="95"/>
      <c r="AL7" s="95"/>
      <c r="AM7" s="95"/>
      <c r="AN7" s="95"/>
      <c r="AO7" s="95"/>
      <c r="AP7" s="95"/>
      <c r="AQ7" s="95"/>
      <c r="AR7" s="95"/>
      <c r="AS7" s="95"/>
      <c r="AT7" s="95"/>
    </row>
    <row r="8" ht="15.75" customHeight="1">
      <c r="A8" s="13" t="s">
        <v>161</v>
      </c>
      <c r="B8" s="15">
        <v>58.4</v>
      </c>
      <c r="C8" s="15"/>
      <c r="D8" s="15">
        <v>57.3</v>
      </c>
      <c r="E8" s="15">
        <v>58.2</v>
      </c>
      <c r="F8" s="15">
        <v>57.9</v>
      </c>
      <c r="G8" s="73">
        <v>57.1</v>
      </c>
      <c r="H8" s="73">
        <v>57.6</v>
      </c>
      <c r="I8" s="73">
        <v>57.8</v>
      </c>
      <c r="J8" s="13">
        <v>57.0</v>
      </c>
      <c r="K8" s="13"/>
      <c r="L8" s="15"/>
      <c r="M8" s="15"/>
      <c r="N8" s="15"/>
      <c r="O8" s="33">
        <v>57.4</v>
      </c>
      <c r="P8" s="33">
        <v>58.4</v>
      </c>
      <c r="Q8" s="15">
        <v>59.1</v>
      </c>
      <c r="R8" s="73">
        <v>58.7</v>
      </c>
      <c r="S8" s="73">
        <v>60.1</v>
      </c>
      <c r="T8" s="73">
        <v>60.2</v>
      </c>
      <c r="U8" s="73">
        <v>60.7</v>
      </c>
      <c r="V8" s="73">
        <v>60.0</v>
      </c>
      <c r="W8" s="73">
        <v>59.1</v>
      </c>
      <c r="X8" s="73">
        <v>60.7</v>
      </c>
      <c r="Y8" s="73"/>
      <c r="Z8" s="73">
        <v>60.7</v>
      </c>
      <c r="AA8" s="73">
        <v>60.5</v>
      </c>
      <c r="AB8" s="24">
        <v>61.3</v>
      </c>
      <c r="AC8" s="96" t="s">
        <v>7</v>
      </c>
      <c r="AD8" s="21">
        <f t="shared" si="1"/>
        <v>0.8</v>
      </c>
      <c r="AE8" s="94"/>
      <c r="AK8" s="95"/>
      <c r="AL8" s="95"/>
      <c r="AM8" s="95"/>
      <c r="AN8" s="95"/>
      <c r="AO8" s="95"/>
      <c r="AP8" s="95"/>
      <c r="AQ8" s="95"/>
      <c r="AR8" s="95"/>
      <c r="AS8" s="95"/>
      <c r="AT8" s="95"/>
    </row>
    <row r="9" ht="15.75" customHeight="1">
      <c r="A9" s="13" t="s">
        <v>162</v>
      </c>
      <c r="B9" s="15">
        <v>62.9</v>
      </c>
      <c r="C9" s="15">
        <v>65.5</v>
      </c>
      <c r="D9" s="15">
        <v>63.5</v>
      </c>
      <c r="E9" s="15">
        <v>63.1</v>
      </c>
      <c r="F9" s="15">
        <v>63.7</v>
      </c>
      <c r="G9" s="73">
        <v>64.0</v>
      </c>
      <c r="H9" s="73">
        <v>62.7</v>
      </c>
      <c r="I9" s="73">
        <v>63.7</v>
      </c>
      <c r="J9" s="13">
        <v>64.9</v>
      </c>
      <c r="K9" s="13">
        <v>63.2</v>
      </c>
      <c r="L9" s="15">
        <v>63.6</v>
      </c>
      <c r="M9" s="15">
        <v>67.0</v>
      </c>
      <c r="N9" s="15">
        <v>65.3</v>
      </c>
      <c r="O9" s="33">
        <v>66.2</v>
      </c>
      <c r="P9" s="33">
        <v>66.7</v>
      </c>
      <c r="Q9" s="15">
        <v>65.7</v>
      </c>
      <c r="R9" s="73">
        <v>65.6</v>
      </c>
      <c r="S9" s="73">
        <v>65.9</v>
      </c>
      <c r="T9" s="73">
        <v>66.1</v>
      </c>
      <c r="U9" s="73">
        <v>67.4</v>
      </c>
      <c r="V9" s="73">
        <v>67.4</v>
      </c>
      <c r="W9" s="73">
        <v>67.2</v>
      </c>
      <c r="X9" s="73">
        <v>68.3</v>
      </c>
      <c r="Y9" s="73">
        <v>68.7</v>
      </c>
      <c r="Z9" s="73">
        <v>69.0</v>
      </c>
      <c r="AA9" s="73">
        <v>69.2</v>
      </c>
      <c r="AB9" s="18">
        <v>69.6</v>
      </c>
      <c r="AC9" s="93" t="s">
        <v>14</v>
      </c>
      <c r="AD9" s="21">
        <f t="shared" si="1"/>
        <v>0.4</v>
      </c>
      <c r="AE9" s="94"/>
      <c r="AK9" s="95"/>
      <c r="AL9" s="95"/>
      <c r="AM9" s="95"/>
      <c r="AN9" s="95"/>
      <c r="AO9" s="95"/>
      <c r="AP9" s="95"/>
      <c r="AQ9" s="95"/>
      <c r="AR9" s="95"/>
      <c r="AS9" s="95"/>
      <c r="AT9" s="95"/>
    </row>
    <row r="10" ht="15.75" customHeight="1">
      <c r="A10" s="13" t="s">
        <v>163</v>
      </c>
      <c r="B10" s="15">
        <v>64.6</v>
      </c>
      <c r="C10" s="15">
        <v>64.8</v>
      </c>
      <c r="D10" s="15">
        <v>64.2</v>
      </c>
      <c r="E10" s="15">
        <v>63.4</v>
      </c>
      <c r="F10" s="15">
        <v>63.9</v>
      </c>
      <c r="G10" s="73">
        <v>64.7</v>
      </c>
      <c r="H10" s="73">
        <v>64.5</v>
      </c>
      <c r="I10" s="73"/>
      <c r="J10" s="13">
        <v>64.7</v>
      </c>
      <c r="K10" s="13">
        <v>66.0</v>
      </c>
      <c r="L10" s="15">
        <v>65.2</v>
      </c>
      <c r="M10" s="15">
        <v>65.8</v>
      </c>
      <c r="N10" s="15"/>
      <c r="O10" s="33">
        <v>66.4</v>
      </c>
      <c r="P10" s="33">
        <v>66.7</v>
      </c>
      <c r="Q10" s="15">
        <v>66.5</v>
      </c>
      <c r="R10" s="73">
        <v>65.8</v>
      </c>
      <c r="S10" s="73">
        <v>66.4</v>
      </c>
      <c r="T10" s="73">
        <v>66.6</v>
      </c>
      <c r="U10" s="73">
        <v>67.1</v>
      </c>
      <c r="V10" s="73">
        <v>66.6</v>
      </c>
      <c r="W10" s="73">
        <v>65.9</v>
      </c>
      <c r="X10" s="73">
        <v>65.4</v>
      </c>
      <c r="Y10" s="73"/>
      <c r="Z10" s="73"/>
      <c r="AA10" s="73"/>
      <c r="AB10" s="18"/>
      <c r="AC10" s="96" t="s">
        <v>7</v>
      </c>
      <c r="AD10" s="21">
        <f t="shared" si="1"/>
        <v>0</v>
      </c>
      <c r="AE10" s="94"/>
      <c r="AK10" s="95"/>
      <c r="AL10" s="95"/>
      <c r="AM10" s="95"/>
      <c r="AN10" s="95"/>
      <c r="AO10" s="95"/>
      <c r="AP10" s="95"/>
      <c r="AQ10" s="95"/>
      <c r="AR10" s="95"/>
      <c r="AS10" s="95"/>
      <c r="AT10" s="95"/>
    </row>
    <row r="11" ht="15.75" customHeight="1">
      <c r="A11" s="13" t="s">
        <v>164</v>
      </c>
      <c r="B11" s="15">
        <v>65.5</v>
      </c>
      <c r="C11" s="15">
        <v>65.5</v>
      </c>
      <c r="D11" s="15">
        <v>65.2</v>
      </c>
      <c r="E11" s="15">
        <v>65.2</v>
      </c>
      <c r="F11" s="15">
        <v>65.0</v>
      </c>
      <c r="G11" s="73">
        <v>65.1</v>
      </c>
      <c r="H11" s="73">
        <v>64.4</v>
      </c>
      <c r="I11" s="73">
        <v>63.9</v>
      </c>
      <c r="J11" s="13">
        <v>64.2</v>
      </c>
      <c r="K11" s="13">
        <v>63.8</v>
      </c>
      <c r="L11" s="15">
        <v>64.5</v>
      </c>
      <c r="M11" s="15">
        <v>65.7</v>
      </c>
      <c r="N11" s="15"/>
      <c r="O11" s="33">
        <v>64.9</v>
      </c>
      <c r="P11" s="99">
        <v>66.0</v>
      </c>
      <c r="Q11" s="73"/>
      <c r="R11" s="37">
        <v>65.1</v>
      </c>
      <c r="S11" s="73">
        <v>65.0</v>
      </c>
      <c r="T11" s="73">
        <v>65.2</v>
      </c>
      <c r="U11" s="73">
        <v>66.2</v>
      </c>
      <c r="V11" s="73">
        <v>67.0</v>
      </c>
      <c r="W11" s="73">
        <v>66.6</v>
      </c>
      <c r="X11" s="73">
        <v>66.7</v>
      </c>
      <c r="Y11" s="73"/>
      <c r="Z11" s="73">
        <v>68.0</v>
      </c>
      <c r="AA11" s="73">
        <v>68.1</v>
      </c>
      <c r="AB11" s="18">
        <v>68.3</v>
      </c>
      <c r="AC11" s="93" t="s">
        <v>14</v>
      </c>
      <c r="AD11" s="21">
        <f t="shared" si="1"/>
        <v>0.2</v>
      </c>
      <c r="AE11" s="94"/>
      <c r="AK11" s="95"/>
      <c r="AL11" s="95"/>
      <c r="AM11" s="95"/>
      <c r="AN11" s="95"/>
      <c r="AO11" s="95"/>
      <c r="AP11" s="95"/>
      <c r="AQ11" s="95"/>
      <c r="AR11" s="95"/>
      <c r="AS11" s="95"/>
      <c r="AT11" s="95"/>
    </row>
    <row r="12" ht="15.75" customHeight="1">
      <c r="A12" s="13" t="s">
        <v>165</v>
      </c>
      <c r="B12" s="15">
        <v>66.6</v>
      </c>
      <c r="C12" s="15">
        <v>67.5</v>
      </c>
      <c r="D12" s="15">
        <v>68.2</v>
      </c>
      <c r="E12" s="15">
        <v>67.7</v>
      </c>
      <c r="F12" s="15">
        <v>67.7</v>
      </c>
      <c r="G12" s="73">
        <v>67.6</v>
      </c>
      <c r="H12" s="73">
        <v>68.4</v>
      </c>
      <c r="I12" s="73"/>
      <c r="J12" s="13">
        <v>70.1</v>
      </c>
      <c r="K12" s="55">
        <v>71.6</v>
      </c>
      <c r="L12" s="53"/>
      <c r="M12" s="15">
        <v>71.4</v>
      </c>
      <c r="N12" s="15">
        <v>71.9</v>
      </c>
      <c r="O12" s="33">
        <v>71.8</v>
      </c>
      <c r="P12" s="33"/>
      <c r="Q12" s="15">
        <v>71.7</v>
      </c>
      <c r="R12" s="73">
        <v>73.6</v>
      </c>
      <c r="S12" s="73">
        <v>72.6</v>
      </c>
      <c r="T12" s="73">
        <v>72.5</v>
      </c>
      <c r="U12" s="73"/>
      <c r="V12" s="73" t="s">
        <v>25</v>
      </c>
      <c r="W12" s="73"/>
      <c r="X12" s="73">
        <v>72.5</v>
      </c>
      <c r="Y12" s="73"/>
      <c r="Z12" s="73">
        <v>72.4</v>
      </c>
      <c r="AA12" s="73">
        <v>72.4</v>
      </c>
      <c r="AB12" s="18">
        <v>73.2</v>
      </c>
      <c r="AC12" s="96" t="s">
        <v>7</v>
      </c>
      <c r="AD12" s="21">
        <f t="shared" si="1"/>
        <v>0.8</v>
      </c>
      <c r="AE12" s="94"/>
      <c r="AK12" s="95"/>
      <c r="AL12" s="95"/>
      <c r="AM12" s="95"/>
      <c r="AN12" s="95"/>
      <c r="AO12" s="95"/>
      <c r="AP12" s="95"/>
      <c r="AQ12" s="95"/>
      <c r="AR12" s="95"/>
      <c r="AS12" s="95"/>
      <c r="AT12" s="95"/>
    </row>
    <row r="13" ht="15.75" customHeight="1">
      <c r="A13" s="13" t="s">
        <v>166</v>
      </c>
      <c r="B13" s="15"/>
      <c r="C13" s="15"/>
      <c r="D13" s="15"/>
      <c r="E13" s="15"/>
      <c r="F13" s="15"/>
      <c r="G13" s="73"/>
      <c r="H13" s="73"/>
      <c r="I13" s="73"/>
      <c r="J13" s="13"/>
      <c r="K13" s="55"/>
      <c r="L13" s="53"/>
      <c r="M13" s="15"/>
      <c r="N13" s="15"/>
      <c r="O13" s="33"/>
      <c r="P13" s="33"/>
      <c r="Q13" s="15"/>
      <c r="R13" s="73"/>
      <c r="S13" s="73"/>
      <c r="T13" s="73"/>
      <c r="U13" s="73"/>
      <c r="V13" s="73"/>
      <c r="W13" s="73">
        <v>65.5</v>
      </c>
      <c r="X13" s="73">
        <v>65.2</v>
      </c>
      <c r="Y13" s="73"/>
      <c r="Z13" s="73">
        <v>67.1</v>
      </c>
      <c r="AA13" s="73">
        <v>66.1</v>
      </c>
      <c r="AB13" s="18">
        <v>66.2</v>
      </c>
      <c r="AC13" s="71"/>
      <c r="AD13" s="21">
        <f t="shared" si="1"/>
        <v>0.1</v>
      </c>
      <c r="AE13" s="94"/>
      <c r="AK13" s="95"/>
      <c r="AL13" s="95"/>
      <c r="AM13" s="95"/>
      <c r="AN13" s="95"/>
      <c r="AO13" s="95"/>
      <c r="AP13" s="95"/>
      <c r="AQ13" s="95"/>
      <c r="AR13" s="95"/>
      <c r="AS13" s="95"/>
      <c r="AT13" s="95"/>
    </row>
    <row r="14" ht="15.75" customHeight="1">
      <c r="A14" s="13" t="s">
        <v>167</v>
      </c>
      <c r="B14" s="15">
        <v>70.7</v>
      </c>
      <c r="C14" s="15">
        <v>70.4</v>
      </c>
      <c r="D14" s="15">
        <v>70.4</v>
      </c>
      <c r="E14" s="15">
        <v>71.5</v>
      </c>
      <c r="F14" s="15">
        <v>71.9</v>
      </c>
      <c r="G14" s="73">
        <v>71.9</v>
      </c>
      <c r="H14" s="73">
        <v>72.6</v>
      </c>
      <c r="I14" s="73">
        <v>72.7</v>
      </c>
      <c r="J14" s="13">
        <v>72.5</v>
      </c>
      <c r="K14" s="13">
        <v>72.9</v>
      </c>
      <c r="L14" s="15"/>
      <c r="M14" s="15"/>
      <c r="N14" s="15">
        <v>73.5</v>
      </c>
      <c r="O14" s="33"/>
      <c r="P14" s="33"/>
      <c r="Q14" s="15">
        <v>73.3</v>
      </c>
      <c r="R14" s="73">
        <v>71.9</v>
      </c>
      <c r="S14" s="73">
        <v>71.3</v>
      </c>
      <c r="T14" s="73">
        <v>72.0</v>
      </c>
      <c r="U14" s="73">
        <v>71.2</v>
      </c>
      <c r="V14" s="73">
        <v>70.7</v>
      </c>
      <c r="W14" s="73">
        <v>70.9</v>
      </c>
      <c r="X14" s="73">
        <v>70.8</v>
      </c>
      <c r="Y14" s="73">
        <v>70.5</v>
      </c>
      <c r="Z14" s="73">
        <v>69.1</v>
      </c>
      <c r="AA14" s="73">
        <v>70.1</v>
      </c>
      <c r="AB14" s="18">
        <v>68.9</v>
      </c>
      <c r="AC14" s="96" t="s">
        <v>7</v>
      </c>
      <c r="AD14" s="21">
        <f t="shared" si="1"/>
        <v>-1.2</v>
      </c>
      <c r="AE14" s="94"/>
      <c r="AK14" s="95"/>
      <c r="AL14" s="95"/>
      <c r="AM14" s="95"/>
      <c r="AN14" s="95"/>
      <c r="AO14" s="95"/>
      <c r="AP14" s="95"/>
      <c r="AQ14" s="95"/>
      <c r="AR14" s="95"/>
      <c r="AS14" s="95"/>
      <c r="AT14" s="95"/>
    </row>
    <row r="15" ht="15.75" customHeight="1">
      <c r="A15" s="13" t="s">
        <v>168</v>
      </c>
      <c r="B15" s="15">
        <v>66.6</v>
      </c>
      <c r="C15" s="15">
        <v>66.8</v>
      </c>
      <c r="D15" s="15">
        <v>66.7</v>
      </c>
      <c r="E15" s="15">
        <v>65.5</v>
      </c>
      <c r="F15" s="15">
        <v>67.0</v>
      </c>
      <c r="G15" s="73">
        <v>66.6</v>
      </c>
      <c r="H15" s="73">
        <v>66.8</v>
      </c>
      <c r="I15" s="73">
        <v>67.0</v>
      </c>
      <c r="J15" s="13">
        <v>65.4</v>
      </c>
      <c r="K15" s="13">
        <v>66.9</v>
      </c>
      <c r="L15" s="15">
        <v>67.7</v>
      </c>
      <c r="M15" s="15">
        <v>67.8</v>
      </c>
      <c r="N15" s="15"/>
      <c r="O15" s="33">
        <v>69.0</v>
      </c>
      <c r="P15" s="33">
        <v>66.7</v>
      </c>
      <c r="Q15" s="15">
        <v>68.7</v>
      </c>
      <c r="R15" s="73">
        <v>68.4</v>
      </c>
      <c r="S15" s="73">
        <v>69.6</v>
      </c>
      <c r="T15" s="73">
        <v>68.9</v>
      </c>
      <c r="U15" s="73">
        <v>68.5</v>
      </c>
      <c r="V15" s="73">
        <v>69.7</v>
      </c>
      <c r="W15" s="73">
        <v>67.4</v>
      </c>
      <c r="X15" s="73">
        <v>67.2</v>
      </c>
      <c r="Y15" s="73"/>
      <c r="Z15" s="73">
        <v>68.9</v>
      </c>
      <c r="AA15" s="73">
        <v>68.9</v>
      </c>
      <c r="AB15" s="18">
        <v>68.9</v>
      </c>
      <c r="AC15" s="93" t="s">
        <v>14</v>
      </c>
      <c r="AD15" s="21">
        <f t="shared" si="1"/>
        <v>0</v>
      </c>
      <c r="AE15" s="94"/>
      <c r="AK15" s="95"/>
      <c r="AL15" s="95"/>
      <c r="AM15" s="95"/>
      <c r="AN15" s="95"/>
      <c r="AO15" s="95"/>
      <c r="AP15" s="95"/>
      <c r="AQ15" s="95"/>
      <c r="AR15" s="95"/>
      <c r="AS15" s="95"/>
      <c r="AT15" s="95"/>
    </row>
    <row r="16" ht="15.75" customHeight="1">
      <c r="A16" s="13" t="s">
        <v>169</v>
      </c>
      <c r="B16" s="15"/>
      <c r="C16" s="15">
        <v>78.6</v>
      </c>
      <c r="D16" s="15"/>
      <c r="E16" s="15">
        <v>76.7</v>
      </c>
      <c r="F16" s="15">
        <v>76.6</v>
      </c>
      <c r="G16" s="73">
        <v>76.2</v>
      </c>
      <c r="H16" s="73">
        <v>75.2</v>
      </c>
      <c r="I16" s="73">
        <v>74.6</v>
      </c>
      <c r="J16" s="13">
        <v>75.5</v>
      </c>
      <c r="K16" s="13">
        <v>76.7</v>
      </c>
      <c r="L16" s="15">
        <v>77.0</v>
      </c>
      <c r="M16" s="15">
        <v>76.7</v>
      </c>
      <c r="N16" s="15">
        <v>76.0</v>
      </c>
      <c r="O16" s="33">
        <v>76.9</v>
      </c>
      <c r="P16" s="33">
        <v>77.0</v>
      </c>
      <c r="Q16" s="15" t="s">
        <v>170</v>
      </c>
      <c r="R16" s="73">
        <v>77.8</v>
      </c>
      <c r="S16" s="73">
        <v>78.7</v>
      </c>
      <c r="T16" s="73">
        <v>78.4</v>
      </c>
      <c r="U16" s="73">
        <v>77.8</v>
      </c>
      <c r="V16" s="73">
        <v>77.4</v>
      </c>
      <c r="W16" s="73">
        <v>77.4</v>
      </c>
      <c r="X16" s="73">
        <v>77.2</v>
      </c>
      <c r="Y16" s="73"/>
      <c r="Z16" s="73">
        <v>77.9</v>
      </c>
      <c r="AA16" s="73">
        <v>78.4</v>
      </c>
      <c r="AB16" s="24">
        <v>74.3</v>
      </c>
      <c r="AC16" s="93" t="s">
        <v>14</v>
      </c>
      <c r="AD16" s="21">
        <f t="shared" si="1"/>
        <v>-4.1</v>
      </c>
      <c r="AE16" s="94"/>
      <c r="AK16" s="95"/>
      <c r="AL16" s="95"/>
      <c r="AM16" s="95"/>
      <c r="AN16" s="95"/>
      <c r="AO16" s="95"/>
      <c r="AP16" s="95"/>
      <c r="AQ16" s="95"/>
      <c r="AR16" s="95"/>
      <c r="AS16" s="95"/>
      <c r="AT16" s="95"/>
    </row>
    <row r="17" ht="15.75" customHeight="1">
      <c r="A17" s="13" t="s">
        <v>171</v>
      </c>
      <c r="B17" s="15">
        <v>76.7</v>
      </c>
      <c r="C17" s="15">
        <v>76.4</v>
      </c>
      <c r="D17" s="15">
        <v>77.5</v>
      </c>
      <c r="E17" s="15">
        <v>77.1</v>
      </c>
      <c r="F17" s="15">
        <v>76.8</v>
      </c>
      <c r="G17" s="73">
        <v>76.8</v>
      </c>
      <c r="H17" s="73">
        <v>76.3</v>
      </c>
      <c r="I17" s="73"/>
      <c r="J17" s="13">
        <v>76.1</v>
      </c>
      <c r="K17" s="13"/>
      <c r="L17" s="15"/>
      <c r="M17" s="15">
        <v>77.5</v>
      </c>
      <c r="N17" s="15">
        <v>78.1</v>
      </c>
      <c r="O17" s="33">
        <v>77.3</v>
      </c>
      <c r="P17" s="33">
        <v>77.3</v>
      </c>
      <c r="Q17" s="15">
        <v>76.1</v>
      </c>
      <c r="R17" s="73">
        <v>77.0</v>
      </c>
      <c r="S17" s="73">
        <v>77.7</v>
      </c>
      <c r="T17" s="73">
        <v>77.7</v>
      </c>
      <c r="U17" s="73">
        <v>76.7</v>
      </c>
      <c r="V17" s="73" t="s">
        <v>172</v>
      </c>
      <c r="W17" s="73">
        <v>77.8</v>
      </c>
      <c r="X17" s="73"/>
      <c r="Y17" s="73"/>
      <c r="Z17" s="73"/>
      <c r="AA17" s="73"/>
      <c r="AB17" s="18"/>
      <c r="AC17" s="96" t="s">
        <v>7</v>
      </c>
      <c r="AD17" s="21">
        <f t="shared" si="1"/>
        <v>0</v>
      </c>
      <c r="AE17" s="94"/>
      <c r="AK17" s="95"/>
      <c r="AL17" s="95"/>
      <c r="AM17" s="95"/>
      <c r="AN17" s="95"/>
      <c r="AO17" s="95"/>
      <c r="AP17" s="95"/>
      <c r="AQ17" s="95"/>
      <c r="AR17" s="95"/>
      <c r="AS17" s="95"/>
      <c r="AT17" s="95"/>
    </row>
    <row r="18" ht="15.75" customHeight="1">
      <c r="A18" s="13" t="s">
        <v>173</v>
      </c>
      <c r="B18" s="15"/>
      <c r="C18" s="15">
        <v>64.0</v>
      </c>
      <c r="D18" s="15">
        <v>64.5</v>
      </c>
      <c r="E18" s="15">
        <v>62.8</v>
      </c>
      <c r="F18" s="15">
        <v>62.2</v>
      </c>
      <c r="G18" s="73">
        <v>62.3</v>
      </c>
      <c r="H18" s="73">
        <v>62.2</v>
      </c>
      <c r="I18" s="73">
        <v>63.4</v>
      </c>
      <c r="J18" s="13">
        <v>63.2</v>
      </c>
      <c r="K18" s="13">
        <v>63.2</v>
      </c>
      <c r="L18" s="15">
        <v>62.8</v>
      </c>
      <c r="M18" s="15">
        <v>62.7</v>
      </c>
      <c r="N18" s="15">
        <v>62.1</v>
      </c>
      <c r="O18" s="33">
        <v>63.0</v>
      </c>
      <c r="P18" s="33">
        <v>62.6</v>
      </c>
      <c r="Q18" s="15">
        <v>61.7</v>
      </c>
      <c r="R18" s="73">
        <v>62.9</v>
      </c>
      <c r="S18" s="73">
        <v>63.2</v>
      </c>
      <c r="T18" s="73">
        <v>62.8</v>
      </c>
      <c r="U18" s="73">
        <v>63.9</v>
      </c>
      <c r="V18" s="73" t="s">
        <v>174</v>
      </c>
      <c r="W18" s="73">
        <v>63.4</v>
      </c>
      <c r="X18" s="73">
        <v>63.9</v>
      </c>
      <c r="Y18" s="73">
        <v>63.5</v>
      </c>
      <c r="Z18" s="73">
        <v>64.0</v>
      </c>
      <c r="AA18" s="73">
        <v>65.5</v>
      </c>
      <c r="AB18" s="24">
        <v>66.0</v>
      </c>
      <c r="AC18" s="96" t="s">
        <v>7</v>
      </c>
      <c r="AD18" s="21">
        <f t="shared" si="1"/>
        <v>0.5</v>
      </c>
      <c r="AE18" s="94"/>
      <c r="AK18" s="95"/>
      <c r="AL18" s="95"/>
      <c r="AM18" s="95"/>
      <c r="AN18" s="95"/>
      <c r="AO18" s="95"/>
      <c r="AP18" s="95"/>
      <c r="AQ18" s="95"/>
      <c r="AR18" s="95"/>
      <c r="AS18" s="95"/>
      <c r="AT18" s="95"/>
    </row>
    <row r="19" ht="15.75" customHeight="1">
      <c r="A19" s="13" t="s">
        <v>175</v>
      </c>
      <c r="B19" s="15">
        <v>69.2</v>
      </c>
      <c r="C19" s="15">
        <v>69.1</v>
      </c>
      <c r="D19" s="15">
        <v>68.3</v>
      </c>
      <c r="E19" s="15"/>
      <c r="F19" s="15">
        <v>66.2</v>
      </c>
      <c r="G19" s="73">
        <v>65.1</v>
      </c>
      <c r="H19" s="73">
        <v>66.0</v>
      </c>
      <c r="I19" s="73">
        <v>66.0</v>
      </c>
      <c r="J19" s="13">
        <v>67.1</v>
      </c>
      <c r="K19" s="13">
        <v>67.9</v>
      </c>
      <c r="L19" s="15">
        <v>67.8</v>
      </c>
      <c r="M19" s="15">
        <v>67.3</v>
      </c>
      <c r="N19" s="15">
        <v>67.8</v>
      </c>
      <c r="O19" s="33">
        <v>69.5</v>
      </c>
      <c r="P19" s="33">
        <v>68.8</v>
      </c>
      <c r="Q19" s="15">
        <v>69.0</v>
      </c>
      <c r="R19" s="73">
        <v>68.5</v>
      </c>
      <c r="S19" s="73">
        <v>68.7</v>
      </c>
      <c r="T19" s="73">
        <v>69.0</v>
      </c>
      <c r="U19" s="73">
        <v>69.6</v>
      </c>
      <c r="V19" s="73">
        <v>70.7</v>
      </c>
      <c r="W19" s="73">
        <v>71.0</v>
      </c>
      <c r="X19" s="73">
        <v>70.2</v>
      </c>
      <c r="Y19" s="73">
        <v>71.2</v>
      </c>
      <c r="Z19" s="73">
        <v>71.1</v>
      </c>
      <c r="AA19" s="73">
        <v>69.9</v>
      </c>
      <c r="AB19" s="18">
        <v>71.5</v>
      </c>
      <c r="AC19" s="93" t="s">
        <v>14</v>
      </c>
      <c r="AD19" s="21">
        <f t="shared" si="1"/>
        <v>1.6</v>
      </c>
      <c r="AE19" s="94"/>
      <c r="AK19" s="95"/>
      <c r="AL19" s="95"/>
      <c r="AM19" s="95"/>
      <c r="AN19" s="95"/>
      <c r="AO19" s="95"/>
      <c r="AP19" s="95"/>
      <c r="AQ19" s="95"/>
      <c r="AR19" s="95"/>
      <c r="AS19" s="95"/>
      <c r="AT19" s="95"/>
    </row>
    <row r="20" ht="15.75" customHeight="1">
      <c r="A20" s="13" t="s">
        <v>176</v>
      </c>
      <c r="B20" s="15">
        <v>65.7</v>
      </c>
      <c r="C20" s="15">
        <v>66.0</v>
      </c>
      <c r="D20" s="15">
        <v>66.4</v>
      </c>
      <c r="E20" s="15">
        <v>65.6</v>
      </c>
      <c r="F20" s="15">
        <v>65.1</v>
      </c>
      <c r="G20" s="73">
        <v>63.4</v>
      </c>
      <c r="H20" s="73">
        <v>77.4</v>
      </c>
      <c r="I20" s="73">
        <v>78.3</v>
      </c>
      <c r="J20" s="13">
        <v>64.3</v>
      </c>
      <c r="K20" s="13">
        <v>65.4</v>
      </c>
      <c r="L20" s="13">
        <v>64.8</v>
      </c>
      <c r="M20" s="15">
        <v>65.0</v>
      </c>
      <c r="N20" s="15"/>
      <c r="O20" s="33">
        <v>64.9</v>
      </c>
      <c r="P20" s="33">
        <v>63.8</v>
      </c>
      <c r="Q20" s="15">
        <v>64.6</v>
      </c>
      <c r="R20" s="73">
        <v>64.2</v>
      </c>
      <c r="S20" s="73">
        <v>65.1</v>
      </c>
      <c r="T20" s="73">
        <v>66.0</v>
      </c>
      <c r="U20" s="73">
        <v>67.4</v>
      </c>
      <c r="V20" s="73">
        <v>68.1</v>
      </c>
      <c r="W20" s="73">
        <v>68.4</v>
      </c>
      <c r="X20" s="73"/>
      <c r="Y20" s="73">
        <v>68.4</v>
      </c>
      <c r="Z20" s="33">
        <v>67.8</v>
      </c>
      <c r="AA20" s="33">
        <v>68.5</v>
      </c>
      <c r="AB20" s="24"/>
      <c r="AC20" s="91" t="s">
        <v>7</v>
      </c>
      <c r="AD20" s="21">
        <f t="shared" si="1"/>
        <v>-68.5</v>
      </c>
      <c r="AE20" s="94"/>
      <c r="AK20" s="95"/>
      <c r="AL20" s="95"/>
      <c r="AM20" s="95"/>
      <c r="AN20" s="95"/>
      <c r="AO20" s="95"/>
      <c r="AP20" s="95"/>
      <c r="AQ20" s="95"/>
      <c r="AR20" s="95"/>
      <c r="AS20" s="95"/>
      <c r="AT20" s="95"/>
    </row>
    <row r="21" ht="15.75" customHeight="1">
      <c r="A21" s="13" t="s">
        <v>148</v>
      </c>
      <c r="B21" s="15"/>
      <c r="C21" s="15">
        <v>77.9</v>
      </c>
      <c r="D21" s="15">
        <v>77.7</v>
      </c>
      <c r="E21" s="15">
        <v>76.5</v>
      </c>
      <c r="F21" s="15"/>
      <c r="G21" s="73">
        <v>76.2</v>
      </c>
      <c r="H21" s="73">
        <v>62.9</v>
      </c>
      <c r="I21" s="73">
        <v>64.4</v>
      </c>
      <c r="J21" s="13">
        <v>77.7</v>
      </c>
      <c r="K21" s="13">
        <v>77.9</v>
      </c>
      <c r="L21" s="15">
        <v>77.2</v>
      </c>
      <c r="M21" s="15">
        <v>77.8</v>
      </c>
      <c r="N21" s="15">
        <v>77.7</v>
      </c>
      <c r="O21" s="33">
        <v>78.6</v>
      </c>
      <c r="P21" s="33">
        <v>79.3</v>
      </c>
      <c r="Q21" s="15">
        <v>77.0</v>
      </c>
      <c r="R21" s="100">
        <v>78.1</v>
      </c>
      <c r="S21" s="73">
        <v>76.6</v>
      </c>
      <c r="T21" s="73">
        <v>77.0</v>
      </c>
      <c r="U21" s="73">
        <v>78.8</v>
      </c>
      <c r="V21" s="73">
        <v>78.4</v>
      </c>
      <c r="W21" s="73">
        <v>78.8</v>
      </c>
      <c r="X21" s="73">
        <v>78.7</v>
      </c>
      <c r="Y21" s="73">
        <v>78.7</v>
      </c>
      <c r="Z21" s="73">
        <v>78.8</v>
      </c>
      <c r="AA21" s="73">
        <v>78.8</v>
      </c>
      <c r="AB21" s="18"/>
      <c r="AC21" s="96" t="s">
        <v>17</v>
      </c>
      <c r="AD21" s="21">
        <f t="shared" si="1"/>
        <v>-78.8</v>
      </c>
      <c r="AE21" s="94"/>
      <c r="AK21" s="95"/>
      <c r="AL21" s="95"/>
      <c r="AM21" s="95"/>
      <c r="AN21" s="95"/>
      <c r="AO21" s="95"/>
      <c r="AP21" s="95"/>
      <c r="AQ21" s="95"/>
      <c r="AR21" s="95"/>
      <c r="AS21" s="95"/>
      <c r="AT21" s="95"/>
    </row>
    <row r="22" ht="15.75" customHeight="1">
      <c r="A22" s="13" t="s">
        <v>177</v>
      </c>
      <c r="B22" s="15">
        <v>69.9</v>
      </c>
      <c r="C22" s="15">
        <v>68.4</v>
      </c>
      <c r="D22" s="15">
        <v>69.2</v>
      </c>
      <c r="E22" s="15">
        <v>70.4</v>
      </c>
      <c r="F22" s="15">
        <v>69.7</v>
      </c>
      <c r="G22" s="73">
        <v>69.6</v>
      </c>
      <c r="H22" s="73">
        <v>69.9</v>
      </c>
      <c r="I22" s="73"/>
      <c r="J22" s="13">
        <v>72.1</v>
      </c>
      <c r="K22" s="13">
        <v>72.6</v>
      </c>
      <c r="L22" s="15">
        <v>72.1</v>
      </c>
      <c r="M22" s="15">
        <v>72.5</v>
      </c>
      <c r="N22" s="15">
        <v>71.0</v>
      </c>
      <c r="O22" s="33">
        <v>71.6</v>
      </c>
      <c r="P22" s="33"/>
      <c r="Q22" s="15">
        <v>71.4</v>
      </c>
      <c r="R22" s="73">
        <v>71.4</v>
      </c>
      <c r="S22" s="73">
        <v>72.4</v>
      </c>
      <c r="T22" s="73">
        <v>73.5</v>
      </c>
      <c r="U22" s="73">
        <v>74.4</v>
      </c>
      <c r="V22" s="73" t="s">
        <v>178</v>
      </c>
      <c r="W22" s="73">
        <v>74.5</v>
      </c>
      <c r="X22" s="73">
        <v>75.2</v>
      </c>
      <c r="Y22" s="73"/>
      <c r="Z22" s="73">
        <v>75.0</v>
      </c>
      <c r="AA22" s="73">
        <v>74.8</v>
      </c>
      <c r="AB22" s="18">
        <v>74.8</v>
      </c>
      <c r="AC22" s="93" t="s">
        <v>14</v>
      </c>
      <c r="AD22" s="21">
        <f t="shared" si="1"/>
        <v>0</v>
      </c>
      <c r="AE22" s="94"/>
      <c r="AK22" s="95"/>
      <c r="AL22" s="95"/>
      <c r="AM22" s="95"/>
      <c r="AN22" s="95"/>
      <c r="AO22" s="95"/>
      <c r="AP22" s="95"/>
      <c r="AQ22" s="95"/>
      <c r="AR22" s="95"/>
      <c r="AS22" s="95"/>
      <c r="AT22" s="95"/>
    </row>
    <row r="23" ht="15.75" customHeight="1">
      <c r="A23" s="13" t="s">
        <v>179</v>
      </c>
      <c r="B23" s="15">
        <v>62.7</v>
      </c>
      <c r="C23" s="15">
        <v>63.9</v>
      </c>
      <c r="D23" s="15">
        <v>61.9</v>
      </c>
      <c r="E23" s="15">
        <v>64.5</v>
      </c>
      <c r="F23" s="15"/>
      <c r="G23" s="73">
        <v>64.8</v>
      </c>
      <c r="H23" s="73">
        <v>64.5</v>
      </c>
      <c r="I23" s="73">
        <v>65.6</v>
      </c>
      <c r="J23" s="13">
        <v>64.8</v>
      </c>
      <c r="K23" s="13">
        <v>66.5</v>
      </c>
      <c r="L23" s="15">
        <v>65.7</v>
      </c>
      <c r="M23" s="15"/>
      <c r="N23" s="15">
        <v>65.5</v>
      </c>
      <c r="O23" s="33">
        <v>64.7</v>
      </c>
      <c r="P23" s="33">
        <v>65.0</v>
      </c>
      <c r="Q23" s="15">
        <v>65.2</v>
      </c>
      <c r="R23" s="73">
        <v>65.4</v>
      </c>
      <c r="S23" s="73">
        <v>66.4</v>
      </c>
      <c r="T23" s="73">
        <v>66.2</v>
      </c>
      <c r="U23" s="73">
        <v>66.0</v>
      </c>
      <c r="V23" s="73">
        <v>65.5</v>
      </c>
      <c r="W23" s="73"/>
      <c r="X23" s="73">
        <v>65.2</v>
      </c>
      <c r="Y23" s="73">
        <v>64.5</v>
      </c>
      <c r="Z23" s="73">
        <v>65.3</v>
      </c>
      <c r="AA23" s="73"/>
      <c r="AB23" s="24"/>
      <c r="AC23" s="96" t="s">
        <v>17</v>
      </c>
      <c r="AD23" s="21">
        <f t="shared" si="1"/>
        <v>0</v>
      </c>
      <c r="AE23" s="94"/>
      <c r="AK23" s="95"/>
      <c r="AL23" s="95"/>
      <c r="AM23" s="95"/>
      <c r="AN23" s="95"/>
      <c r="AO23" s="95"/>
      <c r="AP23" s="95"/>
      <c r="AQ23" s="95"/>
      <c r="AR23" s="95"/>
      <c r="AS23" s="95"/>
      <c r="AT23" s="95"/>
    </row>
    <row r="24" ht="15.75" customHeight="1">
      <c r="A24" s="13" t="s">
        <v>180</v>
      </c>
      <c r="B24" s="15">
        <v>58.8</v>
      </c>
      <c r="C24" s="15">
        <v>58.3</v>
      </c>
      <c r="D24" s="15">
        <v>58.1</v>
      </c>
      <c r="E24" s="15">
        <v>57.7</v>
      </c>
      <c r="F24" s="15">
        <v>58.0</v>
      </c>
      <c r="G24" s="73">
        <v>58.2</v>
      </c>
      <c r="H24" s="73">
        <v>58.5</v>
      </c>
      <c r="I24" s="73"/>
      <c r="J24" s="13">
        <v>58.5</v>
      </c>
      <c r="K24" s="13">
        <v>58.9</v>
      </c>
      <c r="L24" s="15"/>
      <c r="M24" s="15">
        <v>59.6</v>
      </c>
      <c r="N24" s="15">
        <v>59.3</v>
      </c>
      <c r="O24" s="33">
        <v>59.9</v>
      </c>
      <c r="P24" s="33">
        <v>59.1</v>
      </c>
      <c r="Q24" s="15">
        <v>59.7</v>
      </c>
      <c r="R24" s="73">
        <v>59.7</v>
      </c>
      <c r="S24" s="73">
        <v>59.6</v>
      </c>
      <c r="T24" s="73">
        <v>59.1</v>
      </c>
      <c r="U24" s="73"/>
      <c r="V24" s="73" t="s">
        <v>181</v>
      </c>
      <c r="W24" s="73"/>
      <c r="X24" s="73"/>
      <c r="Y24" s="73"/>
      <c r="Z24" s="73">
        <v>59.5</v>
      </c>
      <c r="AA24" s="73">
        <v>60.0</v>
      </c>
      <c r="AB24" s="18"/>
      <c r="AC24" s="93" t="s">
        <v>14</v>
      </c>
      <c r="AD24" s="21">
        <f t="shared" si="1"/>
        <v>-60</v>
      </c>
      <c r="AE24" s="94"/>
      <c r="AK24" s="95"/>
      <c r="AL24" s="95"/>
      <c r="AM24" s="95"/>
      <c r="AN24" s="95"/>
      <c r="AO24" s="95"/>
      <c r="AP24" s="95"/>
      <c r="AQ24" s="95"/>
      <c r="AR24" s="95"/>
      <c r="AS24" s="95"/>
      <c r="AT24" s="95"/>
    </row>
    <row r="25" ht="15.75" customHeight="1">
      <c r="A25" s="46" t="s">
        <v>182</v>
      </c>
      <c r="B25" s="15">
        <v>63.8</v>
      </c>
      <c r="C25" s="15">
        <v>78.7</v>
      </c>
      <c r="D25" s="15">
        <v>77.8</v>
      </c>
      <c r="E25" s="15">
        <v>75.7</v>
      </c>
      <c r="F25" s="15">
        <v>76.2</v>
      </c>
      <c r="G25" s="73">
        <v>76.3</v>
      </c>
      <c r="H25" s="73">
        <v>75.7</v>
      </c>
      <c r="I25" s="73">
        <v>77.1</v>
      </c>
      <c r="J25" s="13">
        <v>77.2</v>
      </c>
      <c r="K25" s="13"/>
      <c r="L25" s="15"/>
      <c r="M25" s="15">
        <v>76.8</v>
      </c>
      <c r="N25" s="15">
        <v>76.7</v>
      </c>
      <c r="O25" s="33">
        <v>76.7</v>
      </c>
      <c r="P25" s="33"/>
      <c r="Q25" s="15"/>
      <c r="R25" s="73">
        <v>76.4</v>
      </c>
      <c r="S25" s="73">
        <v>77.0</v>
      </c>
      <c r="T25" s="73">
        <v>75.6</v>
      </c>
      <c r="U25" s="73">
        <v>75.4</v>
      </c>
      <c r="V25" s="73">
        <v>76.5</v>
      </c>
      <c r="W25" s="73">
        <v>76.1</v>
      </c>
      <c r="X25" s="73">
        <v>76.0</v>
      </c>
      <c r="Y25" s="73">
        <v>75.0</v>
      </c>
      <c r="Z25" s="73">
        <v>76.0</v>
      </c>
      <c r="AA25" s="73">
        <v>75.8</v>
      </c>
      <c r="AB25" s="18">
        <v>76.2</v>
      </c>
      <c r="AC25" s="96" t="s">
        <v>7</v>
      </c>
      <c r="AD25" s="21">
        <f t="shared" si="1"/>
        <v>0.4</v>
      </c>
      <c r="AE25" s="94"/>
      <c r="AK25" s="95"/>
      <c r="AL25" s="95"/>
      <c r="AM25" s="95"/>
      <c r="AN25" s="95"/>
      <c r="AO25" s="95"/>
      <c r="AP25" s="95"/>
      <c r="AQ25" s="95"/>
      <c r="AR25" s="95"/>
      <c r="AS25" s="95"/>
      <c r="AT25" s="95"/>
    </row>
    <row r="26" ht="15.75" customHeight="1">
      <c r="A26" s="13" t="s">
        <v>183</v>
      </c>
      <c r="B26" s="15">
        <v>62.6</v>
      </c>
      <c r="C26" s="15">
        <v>61.9</v>
      </c>
      <c r="D26" s="15">
        <v>62.1</v>
      </c>
      <c r="E26" s="15">
        <v>62.8</v>
      </c>
      <c r="F26" s="15">
        <v>62.4</v>
      </c>
      <c r="G26" s="73">
        <v>62.3</v>
      </c>
      <c r="H26" s="73">
        <v>62.8</v>
      </c>
      <c r="I26" s="73">
        <v>63.5</v>
      </c>
      <c r="J26" s="13">
        <v>63.1</v>
      </c>
      <c r="K26" s="13">
        <v>63.7</v>
      </c>
      <c r="L26" s="15">
        <v>63.7</v>
      </c>
      <c r="M26" s="15">
        <v>64.1</v>
      </c>
      <c r="N26" s="15">
        <v>64.3</v>
      </c>
      <c r="O26" s="33">
        <v>65.2</v>
      </c>
      <c r="P26" s="33">
        <v>65.1</v>
      </c>
      <c r="Q26" s="15">
        <v>65.2</v>
      </c>
      <c r="R26" s="73">
        <v>66.0</v>
      </c>
      <c r="S26" s="73">
        <v>66.5</v>
      </c>
      <c r="T26" s="73">
        <v>65.9</v>
      </c>
      <c r="U26" s="73">
        <v>66.7</v>
      </c>
      <c r="V26" s="73" t="s">
        <v>184</v>
      </c>
      <c r="W26" s="73">
        <v>67.2</v>
      </c>
      <c r="X26" s="73">
        <v>67.4</v>
      </c>
      <c r="Y26" s="73">
        <v>66.8</v>
      </c>
      <c r="Z26" s="73">
        <v>67.9</v>
      </c>
      <c r="AA26" s="73">
        <v>67.5</v>
      </c>
      <c r="AB26" s="24">
        <v>68.2</v>
      </c>
      <c r="AC26" s="96" t="s">
        <v>17</v>
      </c>
      <c r="AD26" s="21">
        <f t="shared" si="1"/>
        <v>0.7</v>
      </c>
      <c r="AE26" s="94"/>
      <c r="AK26" s="95"/>
      <c r="AL26" s="95"/>
      <c r="AM26" s="95"/>
      <c r="AN26" s="95"/>
      <c r="AO26" s="95"/>
      <c r="AP26" s="95"/>
      <c r="AQ26" s="95"/>
      <c r="AR26" s="95"/>
      <c r="AS26" s="95"/>
      <c r="AT26" s="95"/>
    </row>
    <row r="27" ht="15.75" customHeight="1">
      <c r="A27" s="13" t="s">
        <v>185</v>
      </c>
      <c r="B27" s="15">
        <v>75.4</v>
      </c>
      <c r="C27" s="15">
        <v>75.4</v>
      </c>
      <c r="D27" s="15">
        <v>74.9</v>
      </c>
      <c r="E27" s="15">
        <v>73.6</v>
      </c>
      <c r="F27" s="15">
        <v>74.0</v>
      </c>
      <c r="G27" s="73">
        <v>74.6</v>
      </c>
      <c r="H27" s="73">
        <v>74.2</v>
      </c>
      <c r="I27" s="73">
        <v>74.7</v>
      </c>
      <c r="J27" s="13"/>
      <c r="K27" s="13"/>
      <c r="L27" s="15">
        <v>75.9</v>
      </c>
      <c r="M27" s="15">
        <v>74.7</v>
      </c>
      <c r="N27" s="15">
        <v>75.0</v>
      </c>
      <c r="O27" s="28">
        <v>75.8</v>
      </c>
      <c r="P27" s="28">
        <v>76.8</v>
      </c>
      <c r="Q27" s="15">
        <v>76.0</v>
      </c>
      <c r="R27" s="15">
        <v>76.5</v>
      </c>
      <c r="S27" s="73">
        <v>77.0</v>
      </c>
      <c r="T27" s="73">
        <v>77.5</v>
      </c>
      <c r="U27" s="73">
        <v>78.3</v>
      </c>
      <c r="V27" s="13">
        <v>78.8</v>
      </c>
      <c r="W27" s="13">
        <v>79.1</v>
      </c>
      <c r="X27" s="73">
        <v>79.4</v>
      </c>
      <c r="Y27" s="73">
        <v>79.4</v>
      </c>
      <c r="Z27" s="73">
        <v>79.7</v>
      </c>
      <c r="AA27" s="73">
        <v>78.6</v>
      </c>
      <c r="AB27" s="18"/>
      <c r="AC27" s="93" t="s">
        <v>14</v>
      </c>
      <c r="AD27" s="21">
        <f t="shared" si="1"/>
        <v>-78.6</v>
      </c>
      <c r="AE27" s="94"/>
      <c r="AK27" s="95"/>
      <c r="AL27" s="95"/>
      <c r="AM27" s="95"/>
      <c r="AN27" s="95"/>
      <c r="AO27" s="95"/>
      <c r="AP27" s="95"/>
      <c r="AQ27" s="95"/>
      <c r="AR27" s="95"/>
      <c r="AS27" s="95"/>
      <c r="AT27" s="95"/>
    </row>
    <row r="28" ht="15.75" customHeight="1">
      <c r="A28" s="13" t="s">
        <v>186</v>
      </c>
      <c r="B28" s="15">
        <v>71.2</v>
      </c>
      <c r="C28" s="15">
        <v>76.4</v>
      </c>
      <c r="D28" s="15">
        <v>75.0</v>
      </c>
      <c r="E28" s="15">
        <v>73.9</v>
      </c>
      <c r="F28" s="15">
        <v>74.0</v>
      </c>
      <c r="G28" s="73">
        <v>73.2</v>
      </c>
      <c r="H28" s="73">
        <v>74.3</v>
      </c>
      <c r="I28" s="73"/>
      <c r="J28" s="13">
        <v>72.5</v>
      </c>
      <c r="K28" s="13">
        <v>73.2</v>
      </c>
      <c r="L28" s="15">
        <v>72.8</v>
      </c>
      <c r="M28" s="15">
        <v>74.6</v>
      </c>
      <c r="N28" s="15"/>
      <c r="O28" s="33">
        <v>73.4</v>
      </c>
      <c r="P28" s="33">
        <v>74.4</v>
      </c>
      <c r="Q28" s="15">
        <v>73.1</v>
      </c>
      <c r="R28" s="73">
        <v>74.0</v>
      </c>
      <c r="S28" s="73">
        <v>75.0</v>
      </c>
      <c r="T28" s="73">
        <v>74.0</v>
      </c>
      <c r="U28" s="73">
        <v>74.2</v>
      </c>
      <c r="V28" s="73" t="s">
        <v>187</v>
      </c>
      <c r="W28" s="73">
        <v>74.7</v>
      </c>
      <c r="X28" s="73"/>
      <c r="Y28" s="73"/>
      <c r="Z28" s="73">
        <v>73.6</v>
      </c>
      <c r="AA28" s="73">
        <v>76.1</v>
      </c>
      <c r="AB28" s="18">
        <v>73.9</v>
      </c>
      <c r="AC28" s="93" t="s">
        <v>14</v>
      </c>
      <c r="AD28" s="21">
        <f t="shared" si="1"/>
        <v>-2.2</v>
      </c>
      <c r="AE28" s="94"/>
      <c r="AK28" s="95"/>
      <c r="AL28" s="95"/>
      <c r="AM28" s="95"/>
      <c r="AN28" s="95"/>
      <c r="AO28" s="95"/>
      <c r="AP28" s="95"/>
      <c r="AQ28" s="95"/>
      <c r="AR28" s="95"/>
      <c r="AS28" s="95"/>
      <c r="AT28" s="95"/>
    </row>
    <row r="29" ht="15.75" customHeight="1">
      <c r="A29" s="13" t="s">
        <v>188</v>
      </c>
      <c r="B29" s="15">
        <v>79.7</v>
      </c>
      <c r="C29" s="15">
        <v>80.4</v>
      </c>
      <c r="D29" s="15">
        <v>79.8</v>
      </c>
      <c r="E29" s="15">
        <v>80.4</v>
      </c>
      <c r="F29" s="15">
        <v>81.5</v>
      </c>
      <c r="G29" s="73">
        <v>81.6</v>
      </c>
      <c r="H29" s="73">
        <v>83.5</v>
      </c>
      <c r="I29" s="73"/>
      <c r="J29" s="13">
        <v>80.8</v>
      </c>
      <c r="K29" s="13">
        <v>81.8</v>
      </c>
      <c r="L29" s="15">
        <v>81.7</v>
      </c>
      <c r="M29" s="15">
        <v>82.2</v>
      </c>
      <c r="N29" s="15"/>
      <c r="O29" s="33">
        <v>82.8</v>
      </c>
      <c r="P29" s="73">
        <v>82.6</v>
      </c>
      <c r="Q29" s="15">
        <v>82.1</v>
      </c>
      <c r="R29" s="73">
        <v>82.4</v>
      </c>
      <c r="S29" s="73">
        <v>82.0</v>
      </c>
      <c r="T29" s="73">
        <v>82.3</v>
      </c>
      <c r="U29" s="73">
        <v>82.4</v>
      </c>
      <c r="V29" s="73">
        <v>82.7</v>
      </c>
      <c r="W29" s="73">
        <v>83.4</v>
      </c>
      <c r="X29" s="73">
        <v>82.9</v>
      </c>
      <c r="Y29" s="73"/>
      <c r="Z29" s="73">
        <v>82.7</v>
      </c>
      <c r="AA29" s="73">
        <v>82.3</v>
      </c>
      <c r="AB29" s="18">
        <v>82.4</v>
      </c>
      <c r="AC29" s="96" t="s">
        <v>7</v>
      </c>
      <c r="AD29" s="21">
        <f t="shared" si="1"/>
        <v>0.1</v>
      </c>
      <c r="AE29" s="94"/>
      <c r="AK29" s="95"/>
      <c r="AL29" s="95"/>
      <c r="AM29" s="95"/>
      <c r="AN29" s="95"/>
      <c r="AO29" s="95"/>
      <c r="AP29" s="95"/>
      <c r="AQ29" s="95"/>
      <c r="AR29" s="95"/>
      <c r="AS29" s="95"/>
      <c r="AT29" s="95"/>
    </row>
    <row r="30" ht="15.75" customHeight="1">
      <c r="A30" s="13" t="s">
        <v>189</v>
      </c>
      <c r="B30" s="15">
        <v>71.6</v>
      </c>
      <c r="C30" s="15">
        <v>70.8</v>
      </c>
      <c r="D30" s="15">
        <v>70.6</v>
      </c>
      <c r="E30" s="15">
        <v>71.6</v>
      </c>
      <c r="F30" s="15">
        <v>72.1</v>
      </c>
      <c r="G30" s="73">
        <v>73.0</v>
      </c>
      <c r="H30" s="73">
        <v>73.0</v>
      </c>
      <c r="I30" s="73">
        <v>74.4</v>
      </c>
      <c r="J30" s="13">
        <v>73.7</v>
      </c>
      <c r="K30" s="13">
        <v>73.8</v>
      </c>
      <c r="L30" s="15">
        <v>73.2</v>
      </c>
      <c r="M30" s="15">
        <v>73.0</v>
      </c>
      <c r="N30" s="15">
        <v>73.9</v>
      </c>
      <c r="O30" s="33">
        <v>73.6</v>
      </c>
      <c r="P30" s="33">
        <v>73.8</v>
      </c>
      <c r="Q30" s="15">
        <v>73.6</v>
      </c>
      <c r="R30" s="73">
        <v>75.0</v>
      </c>
      <c r="S30" s="73">
        <v>74.1</v>
      </c>
      <c r="T30" s="73">
        <v>75.1</v>
      </c>
      <c r="U30" s="73">
        <v>75.2</v>
      </c>
      <c r="V30" s="73" t="s">
        <v>190</v>
      </c>
      <c r="W30" s="73">
        <v>75.9</v>
      </c>
      <c r="X30" s="73">
        <v>75.2</v>
      </c>
      <c r="Y30" s="73">
        <v>74.7</v>
      </c>
      <c r="Z30" s="73">
        <v>73.5</v>
      </c>
      <c r="AA30" s="73">
        <v>74.4</v>
      </c>
      <c r="AB30" s="18">
        <v>73.5</v>
      </c>
      <c r="AC30" s="96" t="s">
        <v>7</v>
      </c>
      <c r="AD30" s="21">
        <f t="shared" si="1"/>
        <v>-0.9</v>
      </c>
      <c r="AE30" s="94"/>
      <c r="AK30" s="95"/>
      <c r="AL30" s="95"/>
      <c r="AM30" s="95"/>
      <c r="AN30" s="95"/>
      <c r="AO30" s="95"/>
      <c r="AP30" s="95"/>
      <c r="AQ30" s="95"/>
      <c r="AR30" s="95"/>
      <c r="AS30" s="95"/>
      <c r="AT30" s="95"/>
    </row>
    <row r="31" ht="15.75" customHeight="1">
      <c r="A31" s="46" t="s">
        <v>191</v>
      </c>
      <c r="B31" s="15">
        <v>62.4</v>
      </c>
      <c r="C31" s="15">
        <v>58.6</v>
      </c>
      <c r="D31" s="15">
        <v>60.3</v>
      </c>
      <c r="E31" s="15">
        <v>62.0</v>
      </c>
      <c r="F31" s="15">
        <v>61.6</v>
      </c>
      <c r="G31" s="73">
        <v>62.6</v>
      </c>
      <c r="H31" s="73">
        <v>63.0</v>
      </c>
      <c r="I31" s="73">
        <v>62.9</v>
      </c>
      <c r="J31" s="13"/>
      <c r="K31" s="13"/>
      <c r="L31" s="15"/>
      <c r="M31" s="15">
        <v>62.9</v>
      </c>
      <c r="N31" s="15">
        <v>63.0</v>
      </c>
      <c r="O31" s="33">
        <v>63.2</v>
      </c>
      <c r="P31" s="33">
        <v>63.0</v>
      </c>
      <c r="Q31" s="15">
        <v>61.8</v>
      </c>
      <c r="R31" s="73">
        <v>62.1</v>
      </c>
      <c r="S31" s="73">
        <v>63.0</v>
      </c>
      <c r="T31" s="73">
        <v>64.6</v>
      </c>
      <c r="U31" s="73">
        <v>63.9</v>
      </c>
      <c r="V31" s="73">
        <v>63.9</v>
      </c>
      <c r="W31" s="73">
        <v>63.7</v>
      </c>
      <c r="X31" s="73">
        <v>63.5</v>
      </c>
      <c r="Y31" s="73"/>
      <c r="Z31" s="73">
        <v>62.5</v>
      </c>
      <c r="AA31" s="73">
        <v>64.4</v>
      </c>
      <c r="AB31" s="18">
        <v>63.5</v>
      </c>
      <c r="AC31" s="93" t="s">
        <v>14</v>
      </c>
      <c r="AD31" s="21">
        <f t="shared" si="1"/>
        <v>-0.9</v>
      </c>
      <c r="AE31" s="94"/>
      <c r="AK31" s="95"/>
      <c r="AL31" s="95"/>
      <c r="AM31" s="95"/>
      <c r="AN31" s="95"/>
      <c r="AO31" s="95"/>
      <c r="AP31" s="95"/>
      <c r="AQ31" s="95"/>
      <c r="AR31" s="95"/>
      <c r="AS31" s="95"/>
      <c r="AT31" s="95"/>
    </row>
    <row r="32" ht="15.75" customHeight="1">
      <c r="A32" s="13" t="s">
        <v>192</v>
      </c>
      <c r="B32" s="15">
        <v>68.2</v>
      </c>
      <c r="C32" s="15">
        <v>67.5</v>
      </c>
      <c r="D32" s="15">
        <v>66.6</v>
      </c>
      <c r="E32" s="15">
        <v>67.1</v>
      </c>
      <c r="F32" s="15">
        <v>67.2</v>
      </c>
      <c r="G32" s="73"/>
      <c r="H32" s="73">
        <v>67.0</v>
      </c>
      <c r="I32" s="73"/>
      <c r="J32" s="13">
        <v>62.6</v>
      </c>
      <c r="K32" s="13">
        <v>68.5</v>
      </c>
      <c r="L32" s="15">
        <v>68.4</v>
      </c>
      <c r="M32" s="15"/>
      <c r="N32" s="15">
        <v>68.7</v>
      </c>
      <c r="O32" s="33"/>
      <c r="P32" s="33">
        <v>68.4</v>
      </c>
      <c r="Q32" s="15">
        <v>69.0</v>
      </c>
      <c r="R32" s="73">
        <v>69.9</v>
      </c>
      <c r="S32" s="73"/>
      <c r="T32" s="73">
        <v>70.4</v>
      </c>
      <c r="U32" s="73">
        <v>69.7</v>
      </c>
      <c r="V32" s="73">
        <v>70.5</v>
      </c>
      <c r="W32" s="73">
        <v>70.2</v>
      </c>
      <c r="X32" s="73"/>
      <c r="Y32" s="73"/>
      <c r="Z32" s="73">
        <v>71.1</v>
      </c>
      <c r="AA32" s="73">
        <v>71.1</v>
      </c>
      <c r="AB32" s="18">
        <v>71.7</v>
      </c>
      <c r="AC32" s="91"/>
      <c r="AD32" s="21">
        <f t="shared" si="1"/>
        <v>0.6</v>
      </c>
      <c r="AE32" s="94"/>
      <c r="AK32" s="95"/>
      <c r="AL32" s="95"/>
      <c r="AM32" s="95"/>
      <c r="AN32" s="95"/>
      <c r="AO32" s="95"/>
      <c r="AP32" s="95"/>
      <c r="AQ32" s="95"/>
      <c r="AR32" s="95"/>
      <c r="AS32" s="95"/>
      <c r="AT32" s="95"/>
    </row>
    <row r="33" ht="15.75" customHeight="1">
      <c r="A33" s="13" t="s">
        <v>193</v>
      </c>
      <c r="B33" s="15">
        <v>64.8</v>
      </c>
      <c r="C33" s="15">
        <v>64.5</v>
      </c>
      <c r="D33" s="15">
        <v>64.5</v>
      </c>
      <c r="E33" s="15">
        <v>65.4</v>
      </c>
      <c r="F33" s="15">
        <v>66.0</v>
      </c>
      <c r="G33" s="73">
        <v>65.6</v>
      </c>
      <c r="H33" s="73">
        <v>65.8</v>
      </c>
      <c r="I33" s="73">
        <v>66.4</v>
      </c>
      <c r="J33" s="13">
        <v>66.6</v>
      </c>
      <c r="K33" s="13">
        <v>67.3</v>
      </c>
      <c r="L33" s="15">
        <v>67.2</v>
      </c>
      <c r="M33" s="15">
        <v>67.0</v>
      </c>
      <c r="N33" s="15">
        <v>66.7</v>
      </c>
      <c r="O33" s="33">
        <v>66.9</v>
      </c>
      <c r="P33" s="33">
        <v>67.0</v>
      </c>
      <c r="Q33" s="15">
        <v>66.5</v>
      </c>
      <c r="R33" s="73">
        <v>67.0</v>
      </c>
      <c r="S33" s="73">
        <v>67.3</v>
      </c>
      <c r="T33" s="73">
        <v>67.7</v>
      </c>
      <c r="U33" s="73">
        <v>67.8</v>
      </c>
      <c r="V33" s="73" t="s">
        <v>194</v>
      </c>
      <c r="W33" s="73">
        <v>68.2</v>
      </c>
      <c r="X33" s="73">
        <v>67.6</v>
      </c>
      <c r="Y33" s="73">
        <v>68.7</v>
      </c>
      <c r="Z33" s="73">
        <v>68.8</v>
      </c>
      <c r="AA33" s="73">
        <v>68.7</v>
      </c>
      <c r="AB33" s="18">
        <v>68.2</v>
      </c>
      <c r="AC33" s="93" t="s">
        <v>14</v>
      </c>
      <c r="AD33" s="21">
        <f t="shared" si="1"/>
        <v>-0.5</v>
      </c>
      <c r="AE33" s="94"/>
      <c r="AK33" s="95"/>
      <c r="AL33" s="95"/>
      <c r="AM33" s="95"/>
      <c r="AN33" s="95"/>
      <c r="AO33" s="95"/>
      <c r="AP33" s="95"/>
      <c r="AQ33" s="95"/>
      <c r="AR33" s="95"/>
      <c r="AS33" s="95"/>
      <c r="AT33" s="95"/>
    </row>
    <row r="34" ht="15.75" customHeight="1">
      <c r="A34" s="13" t="s">
        <v>195</v>
      </c>
      <c r="B34" s="15">
        <v>62.3</v>
      </c>
      <c r="C34" s="15"/>
      <c r="D34" s="15">
        <v>62.3</v>
      </c>
      <c r="E34" s="15">
        <v>62.9</v>
      </c>
      <c r="F34" s="15">
        <v>62.5</v>
      </c>
      <c r="G34" s="73">
        <v>62.1</v>
      </c>
      <c r="H34" s="73">
        <v>61.9</v>
      </c>
      <c r="I34" s="73">
        <v>62.9</v>
      </c>
      <c r="J34" s="13">
        <v>63.1</v>
      </c>
      <c r="K34" s="13">
        <v>63.2</v>
      </c>
      <c r="L34" s="15">
        <v>62.3</v>
      </c>
      <c r="M34" s="15">
        <v>62.6</v>
      </c>
      <c r="N34" s="15"/>
      <c r="O34" s="33"/>
      <c r="P34" s="33"/>
      <c r="Q34" s="15"/>
      <c r="R34" s="73">
        <v>64.5</v>
      </c>
      <c r="S34" s="73">
        <v>64.8</v>
      </c>
      <c r="T34" s="73">
        <v>64.0</v>
      </c>
      <c r="U34" s="73"/>
      <c r="V34" s="73" t="s">
        <v>174</v>
      </c>
      <c r="W34" s="73">
        <v>64.6</v>
      </c>
      <c r="X34" s="73"/>
      <c r="Y34" s="73"/>
      <c r="Z34" s="73">
        <v>64.6</v>
      </c>
      <c r="AA34" s="73"/>
      <c r="AB34" s="24">
        <v>64.3</v>
      </c>
      <c r="AC34" s="96" t="s">
        <v>17</v>
      </c>
      <c r="AD34" s="21">
        <f t="shared" si="1"/>
        <v>64.3</v>
      </c>
      <c r="AE34" s="94"/>
      <c r="AK34" s="95"/>
      <c r="AL34" s="95"/>
      <c r="AM34" s="95"/>
      <c r="AN34" s="95"/>
      <c r="AO34" s="95"/>
      <c r="AP34" s="95"/>
      <c r="AQ34" s="95"/>
      <c r="AR34" s="95"/>
      <c r="AS34" s="95"/>
      <c r="AT34" s="95"/>
    </row>
    <row r="35" ht="15.75" customHeight="1">
      <c r="A35" s="13" t="s">
        <v>196</v>
      </c>
      <c r="B35" s="15">
        <v>58.4</v>
      </c>
      <c r="C35" s="15">
        <v>61.9</v>
      </c>
      <c r="D35" s="15">
        <v>61.3</v>
      </c>
      <c r="E35" s="15">
        <v>61.4</v>
      </c>
      <c r="F35" s="15">
        <v>60.4</v>
      </c>
      <c r="G35" s="73">
        <v>60.2</v>
      </c>
      <c r="H35" s="73">
        <v>59.6</v>
      </c>
      <c r="I35" s="73">
        <v>59.9</v>
      </c>
      <c r="J35" s="13">
        <v>59.6</v>
      </c>
      <c r="K35" s="13">
        <v>60.1</v>
      </c>
      <c r="L35" s="15">
        <v>60.3</v>
      </c>
      <c r="M35" s="15">
        <v>59.8</v>
      </c>
      <c r="N35" s="15">
        <v>59.8</v>
      </c>
      <c r="O35" s="33">
        <v>60.0</v>
      </c>
      <c r="P35" s="33">
        <v>61.0</v>
      </c>
      <c r="Q35" s="15">
        <v>59.2</v>
      </c>
      <c r="R35" s="73">
        <v>58.9</v>
      </c>
      <c r="S35" s="73">
        <v>59.6</v>
      </c>
      <c r="T35" s="73">
        <v>60.2</v>
      </c>
      <c r="U35" s="73">
        <v>62.7</v>
      </c>
      <c r="V35" s="73" t="s">
        <v>197</v>
      </c>
      <c r="W35" s="73">
        <v>61.7</v>
      </c>
      <c r="X35" s="73">
        <v>62.3</v>
      </c>
      <c r="Y35" s="73">
        <v>62.8</v>
      </c>
      <c r="Z35" s="73"/>
      <c r="AA35" s="73">
        <v>61.7</v>
      </c>
      <c r="AB35" s="19">
        <v>62.5</v>
      </c>
      <c r="AC35" s="93" t="s">
        <v>14</v>
      </c>
      <c r="AD35" s="21">
        <f t="shared" si="1"/>
        <v>0.8</v>
      </c>
      <c r="AE35" s="94"/>
      <c r="AK35" s="95"/>
      <c r="AL35" s="95"/>
      <c r="AM35" s="95"/>
      <c r="AN35" s="95"/>
      <c r="AO35" s="95"/>
      <c r="AP35" s="95"/>
      <c r="AQ35" s="95"/>
      <c r="AR35" s="95"/>
      <c r="AS35" s="95"/>
      <c r="AT35" s="95"/>
    </row>
    <row r="36" ht="15.75" customHeight="1">
      <c r="A36" s="13" t="s">
        <v>198</v>
      </c>
      <c r="B36" s="15"/>
      <c r="C36" s="15"/>
      <c r="D36" s="15">
        <v>69.5</v>
      </c>
      <c r="E36" s="15">
        <v>69.0</v>
      </c>
      <c r="F36" s="15">
        <v>69.9</v>
      </c>
      <c r="G36" s="73">
        <v>68.9</v>
      </c>
      <c r="H36" s="73">
        <v>70.9</v>
      </c>
      <c r="I36" s="73">
        <v>71.8</v>
      </c>
      <c r="J36" s="13"/>
      <c r="K36" s="13"/>
      <c r="L36" s="15">
        <v>71.5</v>
      </c>
      <c r="M36" s="15">
        <v>72.5</v>
      </c>
      <c r="N36" s="15">
        <v>72.6</v>
      </c>
      <c r="O36" s="33">
        <v>73.5</v>
      </c>
      <c r="P36" s="33">
        <v>73.8</v>
      </c>
      <c r="Q36" s="15">
        <v>74.0</v>
      </c>
      <c r="R36" s="73">
        <v>74.0</v>
      </c>
      <c r="S36" s="73">
        <v>74.6</v>
      </c>
      <c r="T36" s="73">
        <v>74.3</v>
      </c>
      <c r="U36" s="73">
        <v>74.5</v>
      </c>
      <c r="V36" s="73" t="s">
        <v>199</v>
      </c>
      <c r="W36" s="73"/>
      <c r="X36" s="73">
        <v>75.9</v>
      </c>
      <c r="Y36" s="73">
        <v>76.3</v>
      </c>
      <c r="Z36" s="73">
        <v>74.4</v>
      </c>
      <c r="AA36" s="73">
        <v>75.1</v>
      </c>
      <c r="AB36" s="24">
        <v>74.6</v>
      </c>
      <c r="AC36" s="96" t="s">
        <v>7</v>
      </c>
      <c r="AD36" s="21">
        <f t="shared" si="1"/>
        <v>-0.5</v>
      </c>
      <c r="AE36" s="94"/>
      <c r="AK36" s="95"/>
      <c r="AL36" s="95"/>
      <c r="AM36" s="95"/>
      <c r="AN36" s="95"/>
      <c r="AO36" s="95"/>
      <c r="AP36" s="95"/>
      <c r="AQ36" s="95"/>
      <c r="AR36" s="95"/>
      <c r="AS36" s="95"/>
      <c r="AT36" s="95"/>
    </row>
    <row r="37" ht="15.75" customHeight="1">
      <c r="A37" s="46" t="s">
        <v>200</v>
      </c>
      <c r="B37" s="15">
        <v>72.6</v>
      </c>
      <c r="C37" s="15">
        <v>76.7</v>
      </c>
      <c r="D37" s="15">
        <v>76.3</v>
      </c>
      <c r="E37" s="15">
        <v>75.6</v>
      </c>
      <c r="F37" s="15">
        <v>74.8</v>
      </c>
      <c r="G37" s="73">
        <v>74.6</v>
      </c>
      <c r="H37" s="73">
        <v>75.1</v>
      </c>
      <c r="I37" s="73">
        <v>74.2</v>
      </c>
      <c r="J37" s="13">
        <v>75.4</v>
      </c>
      <c r="K37" s="13"/>
      <c r="L37" s="15"/>
      <c r="M37" s="15">
        <v>76.3</v>
      </c>
      <c r="N37" s="15">
        <v>75.1</v>
      </c>
      <c r="O37" s="33">
        <v>76.5</v>
      </c>
      <c r="P37" s="33">
        <v>75.2</v>
      </c>
      <c r="Q37" s="15">
        <v>75.5</v>
      </c>
      <c r="R37" s="73">
        <v>75.7</v>
      </c>
      <c r="S37" s="73">
        <v>75.0</v>
      </c>
      <c r="T37" s="73">
        <v>75.4</v>
      </c>
      <c r="U37" s="73">
        <v>76.8</v>
      </c>
      <c r="V37" s="73">
        <v>76.2</v>
      </c>
      <c r="W37" s="73">
        <v>75.1</v>
      </c>
      <c r="X37" s="73">
        <v>75.9</v>
      </c>
      <c r="Y37" s="73">
        <v>75.8</v>
      </c>
      <c r="Z37" s="73">
        <v>74.2</v>
      </c>
      <c r="AA37" s="73"/>
      <c r="AB37" s="19"/>
      <c r="AC37" s="93" t="s">
        <v>14</v>
      </c>
      <c r="AD37" s="21">
        <f t="shared" si="1"/>
        <v>0</v>
      </c>
      <c r="AE37" s="94"/>
      <c r="AF37" s="31" t="s">
        <v>107</v>
      </c>
      <c r="AK37" s="95"/>
      <c r="AL37" s="95"/>
      <c r="AM37" s="95"/>
      <c r="AN37" s="95"/>
      <c r="AO37" s="95"/>
      <c r="AP37" s="95"/>
      <c r="AQ37" s="95"/>
      <c r="AR37" s="95"/>
      <c r="AS37" s="95"/>
      <c r="AT37" s="95"/>
    </row>
    <row r="38" ht="15.75" customHeight="1">
      <c r="A38" s="13" t="s">
        <v>201</v>
      </c>
      <c r="B38" s="15">
        <v>66.7</v>
      </c>
      <c r="C38" s="15">
        <v>65.2</v>
      </c>
      <c r="D38" s="15">
        <v>65.3</v>
      </c>
      <c r="E38" s="15">
        <v>65.5</v>
      </c>
      <c r="F38" s="15">
        <v>65.4</v>
      </c>
      <c r="G38" s="73">
        <v>65.9</v>
      </c>
      <c r="H38" s="73">
        <v>66.4</v>
      </c>
      <c r="I38" s="73">
        <v>67.2</v>
      </c>
      <c r="J38" s="13">
        <v>67.2</v>
      </c>
      <c r="K38" s="13">
        <v>66.4</v>
      </c>
      <c r="L38" s="15">
        <v>67.4</v>
      </c>
      <c r="M38" s="15">
        <v>66.7</v>
      </c>
      <c r="N38" s="15">
        <v>66.9</v>
      </c>
      <c r="O38" s="33">
        <v>68.5</v>
      </c>
      <c r="P38" s="33">
        <v>68.4</v>
      </c>
      <c r="Q38" s="15">
        <v>68.4</v>
      </c>
      <c r="R38" s="73">
        <v>68.5</v>
      </c>
      <c r="S38" s="73">
        <v>68.1</v>
      </c>
      <c r="T38" s="73">
        <v>68.8</v>
      </c>
      <c r="U38" s="73">
        <v>68.6</v>
      </c>
      <c r="V38" s="73" t="s">
        <v>202</v>
      </c>
      <c r="W38" s="73">
        <v>69.5</v>
      </c>
      <c r="X38" s="73">
        <v>68.2</v>
      </c>
      <c r="Y38" s="73">
        <v>69.1</v>
      </c>
      <c r="Z38" s="73">
        <v>69.7</v>
      </c>
      <c r="AA38" s="73">
        <v>69.5</v>
      </c>
      <c r="AB38" s="24">
        <v>69.8</v>
      </c>
      <c r="AC38" s="96" t="s">
        <v>17</v>
      </c>
      <c r="AD38" s="21">
        <f t="shared" si="1"/>
        <v>0.3</v>
      </c>
      <c r="AE38" s="94"/>
      <c r="AK38" s="95"/>
      <c r="AL38" s="95"/>
      <c r="AM38" s="95"/>
      <c r="AN38" s="95"/>
      <c r="AO38" s="95"/>
      <c r="AP38" s="95"/>
      <c r="AQ38" s="95"/>
      <c r="AR38" s="95"/>
      <c r="AS38" s="95"/>
      <c r="AT38" s="95"/>
    </row>
    <row r="39" ht="15.75" customHeight="1">
      <c r="A39" s="13" t="s">
        <v>203</v>
      </c>
      <c r="B39" s="15">
        <v>72.3</v>
      </c>
      <c r="C39" s="15">
        <v>71.5</v>
      </c>
      <c r="D39" s="15">
        <v>72.3</v>
      </c>
      <c r="E39" s="15">
        <v>70.7</v>
      </c>
      <c r="F39" s="15">
        <v>70.9</v>
      </c>
      <c r="G39" s="73">
        <v>72.2</v>
      </c>
      <c r="H39" s="73">
        <v>72.8</v>
      </c>
      <c r="I39" s="73">
        <v>72.2</v>
      </c>
      <c r="J39" s="13">
        <v>73.3</v>
      </c>
      <c r="K39" s="13">
        <v>73.0</v>
      </c>
      <c r="L39" s="15">
        <v>73.7</v>
      </c>
      <c r="M39" s="15">
        <v>72.7</v>
      </c>
      <c r="N39" s="15">
        <v>73.7</v>
      </c>
      <c r="O39" s="33">
        <v>73.7</v>
      </c>
      <c r="P39" s="33">
        <v>73.4</v>
      </c>
      <c r="Q39" s="15">
        <v>73.5</v>
      </c>
      <c r="R39" s="73">
        <v>73.2</v>
      </c>
      <c r="S39" s="73"/>
      <c r="T39" s="73">
        <v>72.7</v>
      </c>
      <c r="U39" s="73">
        <v>73.9</v>
      </c>
      <c r="V39" s="73">
        <v>75.2</v>
      </c>
      <c r="W39" s="73">
        <v>74.8</v>
      </c>
      <c r="X39" s="73">
        <v>74.1</v>
      </c>
      <c r="Y39" s="73">
        <v>74.8</v>
      </c>
      <c r="Z39" s="73">
        <v>74.0</v>
      </c>
      <c r="AA39" s="73">
        <v>74.0</v>
      </c>
      <c r="AB39" s="24">
        <v>73.0</v>
      </c>
      <c r="AC39" s="96" t="s">
        <v>7</v>
      </c>
      <c r="AD39" s="21">
        <f t="shared" si="1"/>
        <v>-1</v>
      </c>
      <c r="AE39" s="94"/>
      <c r="AK39" s="95"/>
      <c r="AL39" s="95"/>
      <c r="AM39" s="95"/>
      <c r="AN39" s="95"/>
      <c r="AO39" s="95"/>
      <c r="AP39" s="95"/>
      <c r="AQ39" s="95"/>
      <c r="AR39" s="95"/>
      <c r="AS39" s="95"/>
      <c r="AT39" s="95"/>
    </row>
    <row r="40" ht="15.75" customHeight="1">
      <c r="A40" s="101" t="s">
        <v>204</v>
      </c>
      <c r="C40" s="13"/>
      <c r="D40" s="13"/>
      <c r="E40" s="15">
        <v>74.8</v>
      </c>
      <c r="F40" s="15">
        <v>73.4</v>
      </c>
      <c r="G40" s="73">
        <v>73.6</v>
      </c>
      <c r="H40" s="73">
        <v>75.0</v>
      </c>
      <c r="I40" s="73">
        <v>75.6</v>
      </c>
      <c r="J40" s="13">
        <v>76.3</v>
      </c>
      <c r="K40" s="13"/>
      <c r="L40" s="15"/>
      <c r="M40" s="15"/>
      <c r="N40" s="15">
        <v>73.5</v>
      </c>
      <c r="O40" s="33">
        <v>73.6</v>
      </c>
      <c r="P40" s="33">
        <v>74.9</v>
      </c>
      <c r="Q40" s="15">
        <v>75.9</v>
      </c>
      <c r="R40" s="73">
        <v>74.7</v>
      </c>
      <c r="S40" s="73">
        <v>75.9</v>
      </c>
      <c r="T40" s="73">
        <v>77.0</v>
      </c>
      <c r="U40" s="73">
        <v>76.5</v>
      </c>
      <c r="V40" s="73">
        <v>77.5</v>
      </c>
      <c r="W40" s="73">
        <v>78.5</v>
      </c>
      <c r="X40" s="73">
        <v>78.1</v>
      </c>
      <c r="Y40" s="73">
        <v>78.6</v>
      </c>
      <c r="Z40" s="73">
        <v>77.5</v>
      </c>
      <c r="AA40" s="73">
        <v>78.0</v>
      </c>
      <c r="AB40" s="19">
        <v>77.6</v>
      </c>
      <c r="AC40" s="93" t="s">
        <v>14</v>
      </c>
      <c r="AD40" s="21">
        <f t="shared" si="1"/>
        <v>-0.4</v>
      </c>
      <c r="AE40" s="94"/>
      <c r="AK40" s="95"/>
      <c r="AL40" s="95"/>
      <c r="AM40" s="95"/>
      <c r="AN40" s="95"/>
      <c r="AO40" s="95"/>
      <c r="AP40" s="95"/>
      <c r="AQ40" s="95"/>
      <c r="AR40" s="95"/>
      <c r="AS40" s="95"/>
      <c r="AT40" s="95"/>
    </row>
    <row r="41" ht="15.75" customHeight="1">
      <c r="A41" s="13" t="s">
        <v>205</v>
      </c>
      <c r="B41" s="15"/>
      <c r="C41" s="15">
        <v>72.4</v>
      </c>
      <c r="D41" s="15">
        <v>72.3</v>
      </c>
      <c r="E41" s="15">
        <v>72.0</v>
      </c>
      <c r="F41" s="15">
        <v>72.5</v>
      </c>
      <c r="G41" s="73"/>
      <c r="H41" s="73">
        <v>73.0</v>
      </c>
      <c r="I41" s="73">
        <v>74.1</v>
      </c>
      <c r="J41" s="13">
        <v>73.9</v>
      </c>
      <c r="K41" s="13"/>
      <c r="L41" s="15">
        <v>73.4</v>
      </c>
      <c r="M41" s="15">
        <v>74.9</v>
      </c>
      <c r="N41" s="15">
        <v>74.3</v>
      </c>
      <c r="O41" s="28">
        <v>73.9</v>
      </c>
      <c r="P41" s="28">
        <v>74.0</v>
      </c>
      <c r="Q41" s="15">
        <v>74.4</v>
      </c>
      <c r="R41" s="15">
        <v>74.6</v>
      </c>
      <c r="S41" s="73">
        <v>74.9</v>
      </c>
      <c r="T41" s="73">
        <v>74.7</v>
      </c>
      <c r="U41" s="73">
        <v>75.1</v>
      </c>
      <c r="V41" s="15">
        <v>75.0</v>
      </c>
      <c r="W41" s="15">
        <v>75.4</v>
      </c>
      <c r="X41" s="73">
        <v>74.7</v>
      </c>
      <c r="Y41" s="73"/>
      <c r="Z41" s="73">
        <v>75.0</v>
      </c>
      <c r="AA41" s="73">
        <v>76.2</v>
      </c>
      <c r="AB41" s="24">
        <v>76.0</v>
      </c>
      <c r="AC41" s="93" t="s">
        <v>14</v>
      </c>
      <c r="AD41" s="21">
        <f t="shared" si="1"/>
        <v>-0.2</v>
      </c>
      <c r="AE41" s="94"/>
      <c r="AK41" s="95"/>
      <c r="AL41" s="95"/>
      <c r="AM41" s="95"/>
      <c r="AN41" s="95"/>
      <c r="AO41" s="95"/>
      <c r="AP41" s="95"/>
      <c r="AQ41" s="95"/>
      <c r="AR41" s="95"/>
      <c r="AS41" s="95"/>
      <c r="AT41" s="95"/>
    </row>
    <row r="42" ht="15.75" customHeight="1">
      <c r="A42" s="31"/>
      <c r="R42" s="37"/>
      <c r="W42" s="31"/>
      <c r="AK42" s="95"/>
      <c r="AL42" s="95"/>
      <c r="AM42" s="95"/>
      <c r="AN42" s="95"/>
      <c r="AO42" s="95"/>
      <c r="AP42" s="95"/>
      <c r="AQ42" s="95"/>
      <c r="AR42" s="95"/>
      <c r="AS42" s="95"/>
      <c r="AT42" s="95"/>
    </row>
    <row r="43" ht="15.75" customHeight="1">
      <c r="A43" s="58" t="s">
        <v>91</v>
      </c>
      <c r="R43" s="37"/>
      <c r="AK43" s="95"/>
      <c r="AL43" s="95"/>
      <c r="AM43" s="95"/>
      <c r="AN43" s="95"/>
      <c r="AO43" s="95"/>
      <c r="AP43" s="95"/>
      <c r="AQ43" s="95"/>
      <c r="AR43" s="95"/>
      <c r="AS43" s="95"/>
      <c r="AT43" s="95"/>
    </row>
    <row r="44" ht="15.75" customHeight="1">
      <c r="R44" s="37"/>
      <c r="AK44" s="95"/>
      <c r="AL44" s="95"/>
      <c r="AM44" s="95"/>
      <c r="AN44" s="95"/>
      <c r="AO44" s="95"/>
      <c r="AP44" s="95"/>
      <c r="AQ44" s="95"/>
      <c r="AR44" s="95"/>
      <c r="AS44" s="95"/>
      <c r="AT44" s="95"/>
    </row>
    <row r="45" ht="15.75" customHeight="1">
      <c r="R45" s="37"/>
      <c r="AK45" s="95"/>
      <c r="AL45" s="95"/>
      <c r="AM45" s="95"/>
      <c r="AN45" s="95"/>
      <c r="AO45" s="95"/>
      <c r="AP45" s="95"/>
      <c r="AQ45" s="95"/>
      <c r="AR45" s="95"/>
      <c r="AS45" s="95"/>
      <c r="AT45" s="95"/>
    </row>
    <row r="46" ht="15.75" customHeight="1">
      <c r="R46" s="37"/>
      <c r="AK46" s="95"/>
      <c r="AL46" s="95"/>
      <c r="AM46" s="95"/>
      <c r="AN46" s="95"/>
      <c r="AO46" s="95"/>
      <c r="AP46" s="95"/>
      <c r="AQ46" s="95"/>
      <c r="AR46" s="95"/>
      <c r="AS46" s="95"/>
      <c r="AT46" s="95"/>
    </row>
    <row r="47" ht="15.75" customHeight="1">
      <c r="R47" s="37"/>
      <c r="AK47" s="95"/>
      <c r="AL47" s="95"/>
      <c r="AM47" s="95"/>
      <c r="AN47" s="95"/>
      <c r="AO47" s="95"/>
      <c r="AP47" s="95"/>
      <c r="AQ47" s="95"/>
      <c r="AR47" s="95"/>
      <c r="AS47" s="95"/>
      <c r="AT47" s="95"/>
    </row>
    <row r="48" ht="15.75" customHeight="1">
      <c r="R48" s="37"/>
      <c r="AK48" s="95"/>
      <c r="AL48" s="95"/>
      <c r="AM48" s="95"/>
      <c r="AN48" s="95"/>
      <c r="AO48" s="95"/>
      <c r="AP48" s="95"/>
      <c r="AQ48" s="95"/>
      <c r="AR48" s="95"/>
      <c r="AS48" s="95"/>
      <c r="AT48" s="95"/>
    </row>
    <row r="49" ht="15.75" customHeight="1">
      <c r="R49" s="37"/>
      <c r="AK49" s="95"/>
      <c r="AL49" s="95"/>
      <c r="AM49" s="95"/>
      <c r="AN49" s="95"/>
      <c r="AO49" s="95"/>
      <c r="AP49" s="95"/>
      <c r="AQ49" s="95"/>
      <c r="AR49" s="95"/>
      <c r="AS49" s="95"/>
      <c r="AT49" s="95"/>
    </row>
    <row r="50" ht="15.75" customHeight="1">
      <c r="R50" s="37"/>
    </row>
    <row r="51" ht="15.75" customHeight="1">
      <c r="R51" s="37"/>
    </row>
    <row r="52" ht="15.75" customHeight="1">
      <c r="R52" s="37"/>
    </row>
    <row r="53" ht="15.75" customHeight="1">
      <c r="R53" s="37"/>
    </row>
    <row r="54" ht="15.75" customHeight="1">
      <c r="R54" s="37"/>
    </row>
    <row r="55" ht="15.75" customHeight="1">
      <c r="R55" s="37"/>
    </row>
    <row r="56" ht="15.75" customHeight="1">
      <c r="R56" s="37"/>
    </row>
    <row r="57" ht="15.75" customHeight="1">
      <c r="R57" s="37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$42">
    <sortState ref="A2:A42">
      <sortCondition ref="A2:A42"/>
    </sortState>
  </autoFilter>
  <mergeCells count="1">
    <mergeCell ref="B1:AR1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3.75"/>
    <col customWidth="1" min="2" max="2" width="5.38"/>
    <col customWidth="1" min="3" max="4" width="6.0"/>
    <col customWidth="1" min="5" max="5" width="6.63"/>
    <col customWidth="1" min="6" max="8" width="6.88"/>
    <col customWidth="1" min="9" max="9" width="7.0"/>
    <col customWidth="1" min="10" max="10" width="7.25"/>
    <col customWidth="1" min="11" max="12" width="6.5"/>
    <col customWidth="1" min="13" max="13" width="6.63"/>
    <col customWidth="1" min="14" max="15" width="6.13"/>
    <col customWidth="1" min="16" max="16" width="6.5"/>
    <col customWidth="1" min="17" max="17" width="7.63"/>
    <col customWidth="1" min="18" max="19" width="7.38"/>
    <col customWidth="1" min="20" max="20" width="7.88"/>
    <col customWidth="1" min="21" max="25" width="7.75"/>
    <col customWidth="1" min="26" max="26" width="7.38"/>
    <col customWidth="1" min="27" max="27" width="16.25"/>
  </cols>
  <sheetData>
    <row r="1" ht="15.75" customHeight="1">
      <c r="A1" s="39" t="s">
        <v>206</v>
      </c>
      <c r="B1" s="6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2"/>
      <c r="AQ1" s="42"/>
      <c r="AR1" s="42"/>
    </row>
    <row r="2" ht="15.75" customHeight="1">
      <c r="A2" s="1" t="s">
        <v>0</v>
      </c>
      <c r="B2" s="3">
        <v>2024.0</v>
      </c>
      <c r="C2" s="4">
        <v>45679.0</v>
      </c>
      <c r="D2" s="4">
        <v>45686.0</v>
      </c>
      <c r="E2" s="4">
        <v>45693.0</v>
      </c>
      <c r="F2" s="5">
        <v>45728.0</v>
      </c>
      <c r="G2" s="5">
        <v>45735.0</v>
      </c>
      <c r="H2" s="5">
        <v>45749.0</v>
      </c>
      <c r="I2" s="6">
        <v>45756.0</v>
      </c>
      <c r="J2" s="6">
        <v>45763.0</v>
      </c>
      <c r="K2" s="6">
        <v>45770.0</v>
      </c>
      <c r="L2" s="102">
        <v>45777.0</v>
      </c>
      <c r="M2" s="64">
        <v>45784.0</v>
      </c>
      <c r="N2" s="103">
        <v>45791.0</v>
      </c>
      <c r="O2" s="103">
        <v>45798.0</v>
      </c>
      <c r="P2" s="104">
        <v>45812.0</v>
      </c>
      <c r="Q2" s="64">
        <v>45819.0</v>
      </c>
      <c r="R2" s="105">
        <v>45826.0</v>
      </c>
      <c r="S2" s="7">
        <v>45849.0</v>
      </c>
      <c r="T2" s="106">
        <v>45861.0</v>
      </c>
      <c r="U2" s="106">
        <v>45868.0</v>
      </c>
      <c r="V2" s="64">
        <v>45875.0</v>
      </c>
      <c r="W2" s="107">
        <v>45882.0</v>
      </c>
      <c r="X2" s="7">
        <v>45903.0</v>
      </c>
      <c r="Y2" s="7">
        <v>45910.0</v>
      </c>
      <c r="Z2" s="7">
        <v>45917.0</v>
      </c>
      <c r="AA2" s="108" t="s">
        <v>2</v>
      </c>
      <c r="AB2" s="9" t="s">
        <v>3</v>
      </c>
      <c r="AC2" s="9" t="s">
        <v>4</v>
      </c>
      <c r="AD2" s="11"/>
      <c r="AE2" s="11"/>
      <c r="AF2" s="12"/>
      <c r="AG2" s="11"/>
      <c r="AH2" s="11"/>
      <c r="AI2" s="11"/>
      <c r="AJ2" s="11"/>
      <c r="AK2" s="12"/>
      <c r="AL2" s="12"/>
      <c r="AM2" s="11"/>
      <c r="AN2" s="11"/>
      <c r="AO2" s="12"/>
      <c r="AP2" s="11"/>
      <c r="AQ2" s="11"/>
      <c r="AR2" s="11"/>
    </row>
    <row r="3" ht="15.75" customHeight="1">
      <c r="A3" s="46" t="s">
        <v>207</v>
      </c>
      <c r="B3" s="15"/>
      <c r="C3" s="15">
        <v>67.4</v>
      </c>
      <c r="D3" s="15">
        <v>67.7</v>
      </c>
      <c r="E3" s="15">
        <v>67.8</v>
      </c>
      <c r="F3" s="15">
        <v>67.0</v>
      </c>
      <c r="G3" s="16">
        <v>67.4</v>
      </c>
      <c r="H3" s="26">
        <v>67.8</v>
      </c>
      <c r="I3" s="109">
        <v>69.1</v>
      </c>
      <c r="J3" s="13">
        <v>68.6</v>
      </c>
      <c r="K3" s="13">
        <v>69.1</v>
      </c>
      <c r="L3" s="15">
        <v>68.9</v>
      </c>
      <c r="M3" s="13">
        <v>69.4</v>
      </c>
      <c r="N3" s="13">
        <v>69.5</v>
      </c>
      <c r="O3" s="13">
        <v>70.0</v>
      </c>
      <c r="P3" s="13">
        <v>69.5</v>
      </c>
      <c r="Q3" s="73">
        <v>69.2</v>
      </c>
      <c r="R3" s="73"/>
      <c r="S3" s="73">
        <v>69.0</v>
      </c>
      <c r="T3" s="73">
        <v>69.6</v>
      </c>
      <c r="U3" s="73" t="s">
        <v>208</v>
      </c>
      <c r="V3" s="73">
        <v>69.9</v>
      </c>
      <c r="W3" s="110">
        <v>70.5</v>
      </c>
      <c r="X3" s="73">
        <v>70.6</v>
      </c>
      <c r="Y3" s="73">
        <v>70.8</v>
      </c>
      <c r="Z3" s="18">
        <v>70.5</v>
      </c>
      <c r="AA3" s="20" t="s">
        <v>14</v>
      </c>
      <c r="AB3" s="21">
        <f t="shared" ref="AB3:AB41" si="1">Z3-Y3</f>
        <v>-0.3</v>
      </c>
      <c r="AC3" s="21">
        <f t="shared" ref="AC3:AC41" si="2">X3-B3</f>
        <v>70.6</v>
      </c>
    </row>
    <row r="4" ht="15.75" customHeight="1">
      <c r="A4" s="46" t="s">
        <v>209</v>
      </c>
      <c r="B4" s="15">
        <v>71.3</v>
      </c>
      <c r="C4" s="15"/>
      <c r="D4" s="15">
        <v>70.3</v>
      </c>
      <c r="E4" s="15">
        <v>69.8</v>
      </c>
      <c r="F4" s="15">
        <v>70.7</v>
      </c>
      <c r="G4" s="16">
        <v>71.6</v>
      </c>
      <c r="H4" s="26">
        <v>71.6</v>
      </c>
      <c r="I4" s="109">
        <v>72.5</v>
      </c>
      <c r="J4" s="13">
        <v>72.2</v>
      </c>
      <c r="K4" s="13">
        <v>72.3</v>
      </c>
      <c r="L4" s="15">
        <v>72.0</v>
      </c>
      <c r="M4" s="13">
        <v>72.6</v>
      </c>
      <c r="N4" s="13">
        <v>73.0</v>
      </c>
      <c r="O4" s="13">
        <v>73.6</v>
      </c>
      <c r="P4" s="13">
        <v>75.0</v>
      </c>
      <c r="Q4" s="73">
        <v>73.7</v>
      </c>
      <c r="R4" s="73">
        <v>73.8</v>
      </c>
      <c r="S4" s="73">
        <v>75.2</v>
      </c>
      <c r="T4" s="73">
        <v>75.6</v>
      </c>
      <c r="U4" s="73">
        <v>75.4</v>
      </c>
      <c r="V4" s="73">
        <v>74.9</v>
      </c>
      <c r="W4" s="110">
        <v>74.1</v>
      </c>
      <c r="X4" s="73">
        <v>74.6</v>
      </c>
      <c r="Y4" s="73">
        <v>74.1</v>
      </c>
      <c r="Z4" s="18">
        <v>73.5</v>
      </c>
      <c r="AA4" s="20" t="s">
        <v>7</v>
      </c>
      <c r="AB4" s="21">
        <f t="shared" si="1"/>
        <v>-0.6</v>
      </c>
      <c r="AC4" s="21">
        <f t="shared" si="2"/>
        <v>3.3</v>
      </c>
    </row>
    <row r="5" ht="15.75" customHeight="1">
      <c r="A5" s="13" t="s">
        <v>210</v>
      </c>
      <c r="B5" s="15">
        <v>66.3</v>
      </c>
      <c r="C5" s="15">
        <v>67.0</v>
      </c>
      <c r="D5" s="15">
        <v>65.9</v>
      </c>
      <c r="E5" s="15">
        <v>66.9</v>
      </c>
      <c r="F5" s="15">
        <v>67.3</v>
      </c>
      <c r="G5" s="16">
        <v>65.9</v>
      </c>
      <c r="H5" s="26">
        <v>66.9</v>
      </c>
      <c r="I5" s="109">
        <v>67.8</v>
      </c>
      <c r="J5" s="13">
        <v>67.1</v>
      </c>
      <c r="K5" s="13">
        <v>67.2</v>
      </c>
      <c r="L5" s="15">
        <v>66.2</v>
      </c>
      <c r="M5" s="13">
        <v>67.0</v>
      </c>
      <c r="N5" s="13">
        <v>66.2</v>
      </c>
      <c r="O5" s="13">
        <v>65.1</v>
      </c>
      <c r="P5" s="55">
        <v>67.2</v>
      </c>
      <c r="Q5" s="73">
        <v>67.2</v>
      </c>
      <c r="R5" s="73">
        <v>68.0</v>
      </c>
      <c r="S5" s="73">
        <v>68.4</v>
      </c>
      <c r="T5" s="73">
        <v>67.8</v>
      </c>
      <c r="U5" s="73" t="s">
        <v>211</v>
      </c>
      <c r="V5" s="73">
        <v>68.7</v>
      </c>
      <c r="W5" s="110">
        <v>67.8</v>
      </c>
      <c r="X5" s="73">
        <v>68.7</v>
      </c>
      <c r="Y5" s="73">
        <v>68.4</v>
      </c>
      <c r="Z5" s="24"/>
      <c r="AA5" s="20" t="s">
        <v>7</v>
      </c>
      <c r="AB5" s="21">
        <f t="shared" si="1"/>
        <v>-68.4</v>
      </c>
      <c r="AC5" s="21">
        <f t="shared" si="2"/>
        <v>2.4</v>
      </c>
    </row>
    <row r="6" ht="15.75" customHeight="1">
      <c r="A6" s="13" t="s">
        <v>212</v>
      </c>
      <c r="B6" s="15">
        <v>59.8</v>
      </c>
      <c r="C6" s="15">
        <v>59.1</v>
      </c>
      <c r="D6" s="15"/>
      <c r="E6" s="15"/>
      <c r="F6" s="15">
        <v>59.9</v>
      </c>
      <c r="G6" s="16">
        <v>60.4</v>
      </c>
      <c r="H6" s="35"/>
      <c r="I6" s="109">
        <v>60.0</v>
      </c>
      <c r="J6" s="13"/>
      <c r="K6" s="13">
        <v>60.0</v>
      </c>
      <c r="L6" s="15">
        <v>59.2</v>
      </c>
      <c r="M6" s="13">
        <v>59.7</v>
      </c>
      <c r="N6" s="13"/>
      <c r="O6" s="13">
        <v>58.2</v>
      </c>
      <c r="P6" s="13">
        <v>58.6</v>
      </c>
      <c r="Q6" s="73">
        <v>59.7</v>
      </c>
      <c r="R6" s="73">
        <v>59.7</v>
      </c>
      <c r="S6" s="73">
        <v>59.1</v>
      </c>
      <c r="T6" s="73"/>
      <c r="U6" s="73"/>
      <c r="V6" s="73">
        <v>59.6</v>
      </c>
      <c r="W6" s="110">
        <v>59.4</v>
      </c>
      <c r="X6" s="73">
        <v>60.9</v>
      </c>
      <c r="Y6" s="73">
        <v>59.6</v>
      </c>
      <c r="Z6" s="18">
        <v>59.6</v>
      </c>
      <c r="AA6" s="20" t="s">
        <v>14</v>
      </c>
      <c r="AB6" s="21">
        <f t="shared" si="1"/>
        <v>0</v>
      </c>
      <c r="AC6" s="21">
        <f t="shared" si="2"/>
        <v>1.1</v>
      </c>
    </row>
    <row r="7" ht="15.75" customHeight="1">
      <c r="A7" s="13" t="s">
        <v>213</v>
      </c>
      <c r="B7" s="15">
        <v>68.1</v>
      </c>
      <c r="C7" s="15">
        <v>66.7</v>
      </c>
      <c r="D7" s="15">
        <v>66.4</v>
      </c>
      <c r="E7" s="15">
        <v>67.6</v>
      </c>
      <c r="F7" s="15">
        <v>67.4</v>
      </c>
      <c r="G7" s="16">
        <v>66.9</v>
      </c>
      <c r="H7" s="26">
        <v>67.9</v>
      </c>
      <c r="I7" s="109">
        <v>67.3</v>
      </c>
      <c r="J7" s="13">
        <v>66.7</v>
      </c>
      <c r="K7" s="13">
        <v>67.9</v>
      </c>
      <c r="L7" s="15">
        <v>67.7</v>
      </c>
      <c r="M7" s="13">
        <v>68.4</v>
      </c>
      <c r="N7" s="13">
        <v>68.0</v>
      </c>
      <c r="O7" s="13">
        <v>68.5</v>
      </c>
      <c r="P7" s="13">
        <v>68.9</v>
      </c>
      <c r="Q7" s="73">
        <v>69.0</v>
      </c>
      <c r="R7" s="73">
        <v>69.4</v>
      </c>
      <c r="S7" s="73">
        <v>70.4</v>
      </c>
      <c r="T7" s="73">
        <v>70.2</v>
      </c>
      <c r="U7" s="73">
        <v>71.2</v>
      </c>
      <c r="V7" s="73">
        <v>70.9</v>
      </c>
      <c r="W7" s="110">
        <v>69.9</v>
      </c>
      <c r="X7" s="73">
        <v>68.8</v>
      </c>
      <c r="Y7" s="73">
        <v>69.6</v>
      </c>
      <c r="Z7" s="19">
        <v>68.5</v>
      </c>
      <c r="AA7" s="20" t="s">
        <v>14</v>
      </c>
      <c r="AB7" s="21">
        <f t="shared" si="1"/>
        <v>-1.1</v>
      </c>
      <c r="AC7" s="21">
        <f t="shared" si="2"/>
        <v>0.7</v>
      </c>
    </row>
    <row r="8" ht="15.75" customHeight="1">
      <c r="A8" s="13" t="s">
        <v>214</v>
      </c>
      <c r="B8" s="15">
        <v>57.9</v>
      </c>
      <c r="C8" s="15">
        <v>57.2</v>
      </c>
      <c r="D8" s="15">
        <v>56.8</v>
      </c>
      <c r="E8" s="15">
        <v>56.7</v>
      </c>
      <c r="F8" s="15">
        <v>57.9</v>
      </c>
      <c r="G8" s="16">
        <v>57.3</v>
      </c>
      <c r="H8" s="26">
        <v>56.3</v>
      </c>
      <c r="I8" s="109">
        <v>56.6</v>
      </c>
      <c r="J8" s="13">
        <v>57.3</v>
      </c>
      <c r="K8" s="13">
        <v>56.7</v>
      </c>
      <c r="L8" s="15">
        <v>57.3</v>
      </c>
      <c r="M8" s="13">
        <v>57.4</v>
      </c>
      <c r="N8" s="13">
        <v>57.8</v>
      </c>
      <c r="O8" s="13">
        <v>58.3</v>
      </c>
      <c r="P8" s="13">
        <v>57.2</v>
      </c>
      <c r="Q8" s="73">
        <v>57.7</v>
      </c>
      <c r="R8" s="73">
        <v>57.6</v>
      </c>
      <c r="S8" s="73">
        <v>59.2</v>
      </c>
      <c r="T8" s="73">
        <v>59.0</v>
      </c>
      <c r="U8" s="73">
        <v>58.7</v>
      </c>
      <c r="V8" s="73">
        <v>59.3</v>
      </c>
      <c r="W8" s="110">
        <v>59.5</v>
      </c>
      <c r="X8" s="73">
        <v>59.9</v>
      </c>
      <c r="Y8" s="73">
        <v>59.6</v>
      </c>
      <c r="Z8" s="24"/>
      <c r="AA8" s="20" t="s">
        <v>14</v>
      </c>
      <c r="AB8" s="21">
        <f t="shared" si="1"/>
        <v>-59.6</v>
      </c>
      <c r="AC8" s="21">
        <f t="shared" si="2"/>
        <v>2</v>
      </c>
    </row>
    <row r="9" ht="15.75" customHeight="1">
      <c r="A9" s="13" t="s">
        <v>215</v>
      </c>
      <c r="B9" s="15">
        <v>73.2</v>
      </c>
      <c r="C9" s="15">
        <v>73.7</v>
      </c>
      <c r="D9" s="15"/>
      <c r="E9" s="15">
        <v>73.9</v>
      </c>
      <c r="F9" s="15">
        <v>74.9</v>
      </c>
      <c r="G9" s="16">
        <v>73.8</v>
      </c>
      <c r="H9" s="26">
        <v>75.4</v>
      </c>
      <c r="I9" s="109">
        <v>74.3</v>
      </c>
      <c r="J9" s="13">
        <v>74.2</v>
      </c>
      <c r="K9" s="13">
        <v>74.9</v>
      </c>
      <c r="L9" s="15">
        <v>74.7</v>
      </c>
      <c r="M9" s="13">
        <v>73.7</v>
      </c>
      <c r="N9" s="13">
        <v>73.8</v>
      </c>
      <c r="O9" s="13">
        <v>73.9</v>
      </c>
      <c r="P9" s="13">
        <v>74.0</v>
      </c>
      <c r="Q9" s="73">
        <v>74.2</v>
      </c>
      <c r="R9" s="73">
        <v>75.6</v>
      </c>
      <c r="S9" s="73">
        <v>74.2</v>
      </c>
      <c r="T9" s="73">
        <v>76.5</v>
      </c>
      <c r="U9" s="73">
        <v>75.6</v>
      </c>
      <c r="V9" s="73">
        <v>76.9</v>
      </c>
      <c r="W9" s="110">
        <v>75.4</v>
      </c>
      <c r="X9" s="73">
        <v>76.8</v>
      </c>
      <c r="Y9" s="73">
        <v>77.2</v>
      </c>
      <c r="Z9" s="18">
        <v>76.2</v>
      </c>
      <c r="AA9" s="20" t="s">
        <v>14</v>
      </c>
      <c r="AB9" s="21">
        <f t="shared" si="1"/>
        <v>-1</v>
      </c>
      <c r="AC9" s="21">
        <f t="shared" si="2"/>
        <v>3.6</v>
      </c>
    </row>
    <row r="10" ht="15.75" customHeight="1">
      <c r="A10" s="13" t="s">
        <v>216</v>
      </c>
      <c r="B10" s="15">
        <v>72.0</v>
      </c>
      <c r="C10" s="15">
        <v>75.0</v>
      </c>
      <c r="D10" s="15">
        <v>75.0</v>
      </c>
      <c r="E10" s="15">
        <v>78.3</v>
      </c>
      <c r="F10" s="15">
        <v>78.2</v>
      </c>
      <c r="G10" s="16">
        <v>78.4</v>
      </c>
      <c r="H10" s="26">
        <v>77.9</v>
      </c>
      <c r="I10" s="109">
        <v>77.5</v>
      </c>
      <c r="J10" s="13">
        <v>77.3</v>
      </c>
      <c r="K10" s="13">
        <v>77.6</v>
      </c>
      <c r="L10" s="15">
        <v>78.7</v>
      </c>
      <c r="M10" s="13">
        <v>77.7</v>
      </c>
      <c r="N10" s="13">
        <v>78.0</v>
      </c>
      <c r="O10" s="13">
        <v>78.3</v>
      </c>
      <c r="P10" s="13">
        <v>79.0</v>
      </c>
      <c r="Q10" s="73">
        <v>79.2</v>
      </c>
      <c r="R10" s="73">
        <v>78.8</v>
      </c>
      <c r="S10" s="73">
        <v>79.0</v>
      </c>
      <c r="T10" s="73">
        <v>79.2</v>
      </c>
      <c r="U10" s="73">
        <v>80.4</v>
      </c>
      <c r="V10" s="73">
        <v>81.0</v>
      </c>
      <c r="W10" s="110">
        <v>80.6</v>
      </c>
      <c r="X10" s="73">
        <v>80.0</v>
      </c>
      <c r="Y10" s="73">
        <v>80.4</v>
      </c>
      <c r="Z10" s="18">
        <v>82.4</v>
      </c>
      <c r="AA10" s="20" t="s">
        <v>14</v>
      </c>
      <c r="AB10" s="21">
        <f t="shared" si="1"/>
        <v>2</v>
      </c>
      <c r="AC10" s="21">
        <f t="shared" si="2"/>
        <v>8</v>
      </c>
    </row>
    <row r="11" ht="15.75" customHeight="1">
      <c r="A11" s="13" t="s">
        <v>217</v>
      </c>
      <c r="B11" s="15">
        <v>58.6</v>
      </c>
      <c r="C11" s="15">
        <v>61.3</v>
      </c>
      <c r="D11" s="15">
        <v>60.2</v>
      </c>
      <c r="E11" s="15"/>
      <c r="F11" s="15">
        <v>61.4</v>
      </c>
      <c r="G11" s="16">
        <v>62.2</v>
      </c>
      <c r="H11" s="26">
        <v>62.4</v>
      </c>
      <c r="I11" s="109">
        <v>62.8</v>
      </c>
      <c r="J11" s="13">
        <v>62.5</v>
      </c>
      <c r="K11" s="13">
        <v>62.7</v>
      </c>
      <c r="L11" s="15">
        <v>62.5</v>
      </c>
      <c r="M11" s="13">
        <v>62.3</v>
      </c>
      <c r="N11" s="13">
        <v>62.0</v>
      </c>
      <c r="O11" s="13">
        <v>62.1</v>
      </c>
      <c r="P11" s="13">
        <v>62.4</v>
      </c>
      <c r="Q11" s="73">
        <v>62.1</v>
      </c>
      <c r="R11" s="73">
        <v>62.5</v>
      </c>
      <c r="S11" s="73">
        <v>63.3</v>
      </c>
      <c r="T11" s="73">
        <v>64.2</v>
      </c>
      <c r="U11" s="73" t="s">
        <v>218</v>
      </c>
      <c r="V11" s="73">
        <v>64.1</v>
      </c>
      <c r="W11" s="110">
        <v>65.4</v>
      </c>
      <c r="X11" s="73">
        <v>64.2</v>
      </c>
      <c r="Y11" s="73">
        <v>64.1</v>
      </c>
      <c r="Z11" s="18">
        <v>65.7</v>
      </c>
      <c r="AA11" s="20" t="s">
        <v>14</v>
      </c>
      <c r="AB11" s="21">
        <f t="shared" si="1"/>
        <v>1.6</v>
      </c>
      <c r="AC11" s="21">
        <f t="shared" si="2"/>
        <v>5.6</v>
      </c>
    </row>
    <row r="12" ht="15.75" customHeight="1">
      <c r="A12" s="13" t="s">
        <v>219</v>
      </c>
      <c r="B12" s="15">
        <v>56.2</v>
      </c>
      <c r="C12" s="15">
        <v>54.7</v>
      </c>
      <c r="D12" s="15">
        <v>54.3</v>
      </c>
      <c r="E12" s="15">
        <v>55.6</v>
      </c>
      <c r="F12" s="15">
        <v>55.5</v>
      </c>
      <c r="G12" s="16">
        <v>55.9</v>
      </c>
      <c r="H12" s="26">
        <v>56.2</v>
      </c>
      <c r="I12" s="109">
        <v>57.0</v>
      </c>
      <c r="J12" s="13">
        <v>56.9</v>
      </c>
      <c r="K12" s="13">
        <v>56.6</v>
      </c>
      <c r="L12" s="15">
        <v>56.6</v>
      </c>
      <c r="M12" s="13">
        <v>56.8</v>
      </c>
      <c r="N12" s="13">
        <v>57.4</v>
      </c>
      <c r="O12" s="13">
        <v>57.0</v>
      </c>
      <c r="P12" s="13">
        <v>58.0</v>
      </c>
      <c r="Q12" s="73">
        <v>57.2</v>
      </c>
      <c r="R12" s="73">
        <v>58.0</v>
      </c>
      <c r="S12" s="73">
        <v>58.6</v>
      </c>
      <c r="T12" s="73">
        <v>59.1</v>
      </c>
      <c r="U12" s="73" t="s">
        <v>220</v>
      </c>
      <c r="V12" s="73"/>
      <c r="W12" s="110"/>
      <c r="X12" s="73">
        <v>59.9</v>
      </c>
      <c r="Y12" s="73">
        <v>59.7</v>
      </c>
      <c r="Z12" s="18">
        <v>59.8</v>
      </c>
      <c r="AA12" s="20" t="s">
        <v>14</v>
      </c>
      <c r="AB12" s="21">
        <f t="shared" si="1"/>
        <v>0.1</v>
      </c>
      <c r="AC12" s="21">
        <f t="shared" si="2"/>
        <v>3.7</v>
      </c>
    </row>
    <row r="13" ht="15.75" customHeight="1">
      <c r="A13" s="13" t="s">
        <v>221</v>
      </c>
      <c r="B13" s="15">
        <v>69.8</v>
      </c>
      <c r="C13" s="15">
        <v>69.9</v>
      </c>
      <c r="D13" s="15">
        <v>69.7</v>
      </c>
      <c r="E13" s="15">
        <v>70.1</v>
      </c>
      <c r="F13" s="15">
        <v>70.1</v>
      </c>
      <c r="G13" s="16">
        <v>69.5</v>
      </c>
      <c r="H13" s="26">
        <v>70.1</v>
      </c>
      <c r="I13" s="109">
        <v>70.4</v>
      </c>
      <c r="J13" s="13">
        <v>69.8</v>
      </c>
      <c r="K13" s="13">
        <v>69.7</v>
      </c>
      <c r="L13" s="15">
        <v>70.2</v>
      </c>
      <c r="M13" s="13">
        <v>69.6</v>
      </c>
      <c r="N13" s="13">
        <v>69.5</v>
      </c>
      <c r="O13" s="13">
        <v>69.4</v>
      </c>
      <c r="P13" s="13">
        <v>71.2</v>
      </c>
      <c r="Q13" s="73">
        <v>71.1</v>
      </c>
      <c r="R13" s="73">
        <v>70.8</v>
      </c>
      <c r="S13" s="73">
        <v>71.9</v>
      </c>
      <c r="T13" s="73">
        <v>71.8</v>
      </c>
      <c r="U13" s="73" t="s">
        <v>222</v>
      </c>
      <c r="V13" s="73">
        <v>73.5</v>
      </c>
      <c r="W13" s="110">
        <v>72.4</v>
      </c>
      <c r="X13" s="73">
        <v>74.0</v>
      </c>
      <c r="Y13" s="73">
        <v>73.2</v>
      </c>
      <c r="Z13" s="18">
        <v>73.5</v>
      </c>
      <c r="AA13" s="20" t="s">
        <v>14</v>
      </c>
      <c r="AB13" s="21">
        <f t="shared" si="1"/>
        <v>0.3</v>
      </c>
      <c r="AC13" s="21">
        <f t="shared" si="2"/>
        <v>4.2</v>
      </c>
    </row>
    <row r="14" ht="15.75" customHeight="1">
      <c r="A14" s="13" t="s">
        <v>223</v>
      </c>
      <c r="B14" s="15">
        <v>59.4</v>
      </c>
      <c r="C14" s="15">
        <v>57.7</v>
      </c>
      <c r="D14" s="15">
        <v>57.2</v>
      </c>
      <c r="E14" s="15">
        <v>59.0</v>
      </c>
      <c r="F14" s="15">
        <v>59.0</v>
      </c>
      <c r="G14" s="16">
        <v>60.2</v>
      </c>
      <c r="H14" s="26">
        <v>59.7</v>
      </c>
      <c r="I14" s="109">
        <v>60.1</v>
      </c>
      <c r="J14" s="13">
        <v>59.5</v>
      </c>
      <c r="K14" s="13">
        <v>59.2</v>
      </c>
      <c r="L14" s="15">
        <v>60.6</v>
      </c>
      <c r="M14" s="13">
        <v>59.2</v>
      </c>
      <c r="N14" s="13">
        <v>60.0</v>
      </c>
      <c r="O14" s="13">
        <v>58.8</v>
      </c>
      <c r="P14" s="13">
        <v>58.9</v>
      </c>
      <c r="Q14" s="73">
        <v>58.8</v>
      </c>
      <c r="R14" s="73">
        <v>59.7</v>
      </c>
      <c r="S14" s="73">
        <v>59.4</v>
      </c>
      <c r="T14" s="73">
        <v>60.6</v>
      </c>
      <c r="U14" s="73">
        <v>60.3</v>
      </c>
      <c r="V14" s="73">
        <v>60.8</v>
      </c>
      <c r="W14" s="110">
        <v>61.1</v>
      </c>
      <c r="X14" s="73">
        <v>61.4</v>
      </c>
      <c r="Y14" s="73">
        <v>60.8</v>
      </c>
      <c r="Z14" s="18">
        <v>60.9</v>
      </c>
      <c r="AA14" s="20" t="s">
        <v>14</v>
      </c>
      <c r="AB14" s="21">
        <f t="shared" si="1"/>
        <v>0.1</v>
      </c>
      <c r="AC14" s="21">
        <f t="shared" si="2"/>
        <v>2</v>
      </c>
    </row>
    <row r="15" ht="15.75" customHeight="1">
      <c r="A15" s="13" t="s">
        <v>224</v>
      </c>
      <c r="B15" s="15"/>
      <c r="C15" s="15"/>
      <c r="D15" s="13"/>
      <c r="E15" s="15">
        <v>64.0</v>
      </c>
      <c r="F15" s="15">
        <v>63.4</v>
      </c>
      <c r="G15" s="16">
        <v>63.9</v>
      </c>
      <c r="H15" s="26">
        <v>64.7</v>
      </c>
      <c r="I15" s="109">
        <v>64.5</v>
      </c>
      <c r="J15" s="13"/>
      <c r="K15" s="13">
        <v>64.0</v>
      </c>
      <c r="L15" s="15">
        <v>64.4</v>
      </c>
      <c r="M15" s="13"/>
      <c r="N15" s="13">
        <v>63.8</v>
      </c>
      <c r="O15" s="13">
        <v>64.4</v>
      </c>
      <c r="P15" s="13">
        <v>63.9</v>
      </c>
      <c r="Q15" s="73">
        <v>64.6</v>
      </c>
      <c r="R15" s="73">
        <v>64.2</v>
      </c>
      <c r="S15" s="73">
        <v>65.0</v>
      </c>
      <c r="T15" s="73">
        <v>65.9</v>
      </c>
      <c r="U15" s="73" t="s">
        <v>225</v>
      </c>
      <c r="V15" s="73">
        <v>64.0</v>
      </c>
      <c r="W15" s="110">
        <v>65.0</v>
      </c>
      <c r="X15" s="73">
        <v>65.9</v>
      </c>
      <c r="Y15" s="73">
        <v>67.4</v>
      </c>
      <c r="Z15" s="18">
        <v>67.2</v>
      </c>
      <c r="AA15" s="20" t="s">
        <v>14</v>
      </c>
      <c r="AB15" s="21">
        <f t="shared" si="1"/>
        <v>-0.2</v>
      </c>
      <c r="AC15" s="21">
        <f t="shared" si="2"/>
        <v>65.9</v>
      </c>
    </row>
    <row r="16" ht="15.75" customHeight="1">
      <c r="A16" s="31" t="s">
        <v>226</v>
      </c>
      <c r="B16" s="15"/>
      <c r="C16" s="15"/>
      <c r="D16" s="15"/>
      <c r="E16" s="15"/>
      <c r="F16" s="15">
        <v>54.2</v>
      </c>
      <c r="G16" s="15">
        <v>57.6</v>
      </c>
      <c r="H16" s="15">
        <v>57.5</v>
      </c>
      <c r="I16" s="72">
        <v>54.2</v>
      </c>
      <c r="J16" s="13"/>
      <c r="K16" s="13">
        <v>55.3</v>
      </c>
      <c r="L16" s="15"/>
      <c r="M16" s="13">
        <v>55.2</v>
      </c>
      <c r="N16" s="13">
        <v>55.0</v>
      </c>
      <c r="O16" s="13">
        <v>54.0</v>
      </c>
      <c r="P16" s="13"/>
      <c r="Q16" s="73">
        <v>55.2</v>
      </c>
      <c r="R16" s="73">
        <v>56.4</v>
      </c>
      <c r="S16" s="73">
        <v>56.9</v>
      </c>
      <c r="T16" s="73">
        <v>57.7</v>
      </c>
      <c r="U16" s="73">
        <v>57.0</v>
      </c>
      <c r="V16" s="73">
        <v>58.0</v>
      </c>
      <c r="W16" s="110">
        <v>57.3</v>
      </c>
      <c r="X16" s="73">
        <v>57.7</v>
      </c>
      <c r="Y16" s="73">
        <v>58.0</v>
      </c>
      <c r="Z16" s="24">
        <v>58.1</v>
      </c>
      <c r="AA16" s="20" t="s">
        <v>14</v>
      </c>
      <c r="AB16" s="21">
        <f t="shared" si="1"/>
        <v>0.1</v>
      </c>
      <c r="AC16" s="21">
        <f t="shared" si="2"/>
        <v>57.7</v>
      </c>
    </row>
    <row r="17" ht="15.75" customHeight="1">
      <c r="A17" s="46" t="s">
        <v>227</v>
      </c>
      <c r="B17" s="15">
        <v>57.3</v>
      </c>
      <c r="C17" s="15">
        <v>55.8</v>
      </c>
      <c r="D17" s="15">
        <v>56.8</v>
      </c>
      <c r="E17" s="15">
        <v>56.9</v>
      </c>
      <c r="F17" s="15">
        <v>57.2</v>
      </c>
      <c r="G17" s="15">
        <v>57.6</v>
      </c>
      <c r="H17" s="15">
        <v>57.5</v>
      </c>
      <c r="I17" s="87">
        <v>57.9</v>
      </c>
      <c r="J17" s="13">
        <v>58.4</v>
      </c>
      <c r="K17" s="13">
        <v>58.6</v>
      </c>
      <c r="L17" s="15">
        <v>58.9</v>
      </c>
      <c r="M17" s="13">
        <v>58.9</v>
      </c>
      <c r="N17" s="13">
        <v>59.0</v>
      </c>
      <c r="O17" s="13">
        <v>58.9</v>
      </c>
      <c r="P17" s="13">
        <v>60.0</v>
      </c>
      <c r="Q17" s="73">
        <v>59.3</v>
      </c>
      <c r="R17" s="73">
        <v>59.7</v>
      </c>
      <c r="S17" s="73">
        <v>59.9</v>
      </c>
      <c r="T17" s="73">
        <v>59.3</v>
      </c>
      <c r="U17" s="73" t="s">
        <v>228</v>
      </c>
      <c r="V17" s="73">
        <v>59.0</v>
      </c>
      <c r="W17" s="110">
        <v>59.8</v>
      </c>
      <c r="X17" s="73">
        <v>58.4</v>
      </c>
      <c r="Y17" s="73">
        <v>59.5</v>
      </c>
      <c r="Z17" s="19">
        <v>58.1</v>
      </c>
      <c r="AA17" s="20" t="s">
        <v>14</v>
      </c>
      <c r="AB17" s="21">
        <f t="shared" si="1"/>
        <v>-1.4</v>
      </c>
      <c r="AC17" s="21">
        <f t="shared" si="2"/>
        <v>1.1</v>
      </c>
    </row>
    <row r="18" ht="15.75" customHeight="1">
      <c r="A18" s="13" t="s">
        <v>229</v>
      </c>
      <c r="B18" s="15">
        <v>64.3</v>
      </c>
      <c r="C18" s="15">
        <v>65.9</v>
      </c>
      <c r="D18" s="15">
        <v>65.0</v>
      </c>
      <c r="E18" s="15"/>
      <c r="F18" s="15">
        <v>65.8</v>
      </c>
      <c r="G18" s="15">
        <v>65.9</v>
      </c>
      <c r="H18" s="15">
        <v>65.6</v>
      </c>
      <c r="I18" s="87">
        <v>66.7</v>
      </c>
      <c r="J18" s="13">
        <v>67.0</v>
      </c>
      <c r="K18" s="13">
        <v>67.4</v>
      </c>
      <c r="L18" s="15">
        <v>67.5</v>
      </c>
      <c r="M18" s="13">
        <v>67.7</v>
      </c>
      <c r="N18" s="13">
        <v>68.0</v>
      </c>
      <c r="O18" s="13">
        <v>67.9</v>
      </c>
      <c r="P18" s="13">
        <v>67.2</v>
      </c>
      <c r="Q18" s="73">
        <v>67.5</v>
      </c>
      <c r="R18" s="73">
        <v>68.0</v>
      </c>
      <c r="S18" s="73">
        <v>67.5</v>
      </c>
      <c r="T18" s="73">
        <v>67.7</v>
      </c>
      <c r="U18" s="73">
        <v>68.6</v>
      </c>
      <c r="V18" s="73">
        <v>68.4</v>
      </c>
      <c r="W18" s="110">
        <v>69.0</v>
      </c>
      <c r="X18" s="73">
        <v>69.3</v>
      </c>
      <c r="Y18" s="73">
        <v>69.0</v>
      </c>
      <c r="Z18" s="24">
        <v>70.2</v>
      </c>
      <c r="AA18" s="20" t="s">
        <v>14</v>
      </c>
      <c r="AB18" s="21">
        <f t="shared" si="1"/>
        <v>1.2</v>
      </c>
      <c r="AC18" s="21">
        <f t="shared" si="2"/>
        <v>5</v>
      </c>
    </row>
    <row r="19" ht="15.75" customHeight="1">
      <c r="A19" s="13" t="s">
        <v>230</v>
      </c>
      <c r="B19" s="15">
        <v>64.2</v>
      </c>
      <c r="C19" s="15">
        <v>63.9</v>
      </c>
      <c r="D19" s="15">
        <v>64.4</v>
      </c>
      <c r="E19" s="15"/>
      <c r="F19" s="15"/>
      <c r="G19" s="15"/>
      <c r="H19" s="15">
        <v>64.9</v>
      </c>
      <c r="I19" s="87">
        <v>65.7</v>
      </c>
      <c r="J19" s="13">
        <v>66.2</v>
      </c>
      <c r="K19" s="13">
        <v>66.2</v>
      </c>
      <c r="L19" s="15">
        <v>66.7</v>
      </c>
      <c r="M19" s="13">
        <v>66.6</v>
      </c>
      <c r="N19" s="13">
        <v>65.9</v>
      </c>
      <c r="O19" s="13">
        <v>66.6</v>
      </c>
      <c r="P19" s="13">
        <v>66.7</v>
      </c>
      <c r="Q19" s="73">
        <v>66.0</v>
      </c>
      <c r="R19" s="73">
        <v>66.8</v>
      </c>
      <c r="S19" s="73">
        <v>66.8</v>
      </c>
      <c r="T19" s="73">
        <v>67.4</v>
      </c>
      <c r="U19" s="73" t="s">
        <v>231</v>
      </c>
      <c r="V19" s="73">
        <v>68.3</v>
      </c>
      <c r="W19" s="110">
        <v>66.8</v>
      </c>
      <c r="X19" s="73"/>
      <c r="Y19" s="73">
        <v>66.9</v>
      </c>
      <c r="Z19" s="73">
        <v>65.7</v>
      </c>
      <c r="AA19" s="20" t="s">
        <v>14</v>
      </c>
      <c r="AB19" s="21">
        <f t="shared" si="1"/>
        <v>-1.2</v>
      </c>
      <c r="AC19" s="21">
        <f t="shared" si="2"/>
        <v>-64.2</v>
      </c>
    </row>
    <row r="20" ht="15.75" customHeight="1">
      <c r="A20" s="13" t="s">
        <v>232</v>
      </c>
      <c r="B20" s="15">
        <v>51.9</v>
      </c>
      <c r="C20" s="15">
        <v>53.4</v>
      </c>
      <c r="D20" s="15">
        <v>52.2</v>
      </c>
      <c r="E20" s="15"/>
      <c r="F20" s="15">
        <v>53.0</v>
      </c>
      <c r="G20" s="15">
        <v>52.9</v>
      </c>
      <c r="H20" s="15">
        <v>54.4</v>
      </c>
      <c r="I20" s="87">
        <v>55.4</v>
      </c>
      <c r="J20" s="13">
        <v>54.5</v>
      </c>
      <c r="K20" s="13">
        <v>55.1</v>
      </c>
      <c r="L20" s="15">
        <v>54.9</v>
      </c>
      <c r="M20" s="13">
        <v>55.6</v>
      </c>
      <c r="N20" s="13">
        <v>54.8</v>
      </c>
      <c r="O20" s="13">
        <v>54.9</v>
      </c>
      <c r="P20" s="13">
        <v>56.0</v>
      </c>
      <c r="Q20" s="73">
        <v>56.6</v>
      </c>
      <c r="R20" s="73">
        <v>56.3</v>
      </c>
      <c r="S20" s="73">
        <v>56.5</v>
      </c>
      <c r="T20" s="73">
        <v>55.1</v>
      </c>
      <c r="U20" s="73"/>
      <c r="V20" s="73">
        <v>56.6</v>
      </c>
      <c r="W20" s="110">
        <v>56.8</v>
      </c>
      <c r="X20" s="73">
        <v>58.7</v>
      </c>
      <c r="Y20" s="73">
        <v>58.7</v>
      </c>
      <c r="Z20" s="24">
        <v>59.1</v>
      </c>
      <c r="AA20" s="20" t="s">
        <v>14</v>
      </c>
      <c r="AB20" s="21">
        <f t="shared" si="1"/>
        <v>0.4</v>
      </c>
      <c r="AC20" s="21">
        <f t="shared" si="2"/>
        <v>6.8</v>
      </c>
    </row>
    <row r="21" ht="15.75" customHeight="1">
      <c r="A21" s="13" t="s">
        <v>233</v>
      </c>
      <c r="B21" s="15">
        <v>71.3</v>
      </c>
      <c r="C21" s="15">
        <v>70.8</v>
      </c>
      <c r="D21" s="15">
        <v>71.1</v>
      </c>
      <c r="E21" s="15">
        <v>70.2</v>
      </c>
      <c r="F21" s="15">
        <v>70.1</v>
      </c>
      <c r="G21" s="15">
        <v>69.8</v>
      </c>
      <c r="H21" s="15">
        <v>69.2</v>
      </c>
      <c r="I21" s="111"/>
      <c r="J21" s="13"/>
      <c r="K21" s="13">
        <v>71.1</v>
      </c>
      <c r="L21" s="15">
        <v>71.7</v>
      </c>
      <c r="M21" s="13">
        <v>70.2</v>
      </c>
      <c r="N21" s="13">
        <v>71.6</v>
      </c>
      <c r="O21" s="13">
        <v>72.0</v>
      </c>
      <c r="P21" s="13">
        <v>70.9</v>
      </c>
      <c r="Q21" s="73">
        <v>70.2</v>
      </c>
      <c r="R21" s="73">
        <v>70.4</v>
      </c>
      <c r="S21" s="73">
        <v>72.7</v>
      </c>
      <c r="T21" s="73">
        <v>72.3</v>
      </c>
      <c r="U21" s="73" t="s">
        <v>234</v>
      </c>
      <c r="V21" s="73">
        <v>72.6</v>
      </c>
      <c r="W21" s="110"/>
      <c r="X21" s="73">
        <v>73.3</v>
      </c>
      <c r="Y21" s="73">
        <v>73.7</v>
      </c>
      <c r="Z21" s="18">
        <v>73.4</v>
      </c>
      <c r="AA21" s="20" t="s">
        <v>14</v>
      </c>
      <c r="AB21" s="21">
        <f t="shared" si="1"/>
        <v>-0.3</v>
      </c>
      <c r="AC21" s="21">
        <f t="shared" si="2"/>
        <v>2</v>
      </c>
    </row>
    <row r="22" ht="15.75" customHeight="1">
      <c r="A22" s="46" t="s">
        <v>235</v>
      </c>
      <c r="B22" s="15"/>
      <c r="C22" s="15">
        <v>67.9</v>
      </c>
      <c r="D22" s="15">
        <v>68.8</v>
      </c>
      <c r="E22" s="15">
        <v>69.9</v>
      </c>
      <c r="F22" s="15">
        <v>68.7</v>
      </c>
      <c r="G22" s="15">
        <v>68.5</v>
      </c>
      <c r="H22" s="15">
        <v>70.2</v>
      </c>
      <c r="I22" s="109">
        <v>71.8</v>
      </c>
      <c r="J22" s="13">
        <v>71.9</v>
      </c>
      <c r="K22" s="13">
        <v>71.9</v>
      </c>
      <c r="L22" s="15">
        <v>73.1</v>
      </c>
      <c r="M22" s="13">
        <v>73.6</v>
      </c>
      <c r="N22" s="13">
        <v>70.9</v>
      </c>
      <c r="O22" s="13">
        <v>70.6</v>
      </c>
      <c r="P22" s="13">
        <v>71.6</v>
      </c>
      <c r="Q22" s="73">
        <v>71.5</v>
      </c>
      <c r="R22" s="73">
        <v>72.4</v>
      </c>
      <c r="S22" s="73">
        <v>72.4</v>
      </c>
      <c r="T22" s="73">
        <v>71.2</v>
      </c>
      <c r="U22" s="73" t="s">
        <v>236</v>
      </c>
      <c r="V22" s="73">
        <v>71.5</v>
      </c>
      <c r="W22" s="110">
        <v>72.2</v>
      </c>
      <c r="X22" s="73">
        <v>70.5</v>
      </c>
      <c r="Y22" s="73">
        <v>71.3</v>
      </c>
      <c r="Z22" s="18">
        <v>70.7</v>
      </c>
      <c r="AA22" s="20" t="s">
        <v>14</v>
      </c>
      <c r="AB22" s="21">
        <f t="shared" si="1"/>
        <v>-0.6</v>
      </c>
      <c r="AC22" s="21">
        <f t="shared" si="2"/>
        <v>70.5</v>
      </c>
    </row>
    <row r="23" ht="15.75" customHeight="1">
      <c r="A23" s="13" t="s">
        <v>237</v>
      </c>
      <c r="B23" s="15">
        <v>68.2</v>
      </c>
      <c r="C23" s="15">
        <v>69.6</v>
      </c>
      <c r="D23" s="15">
        <v>68.4</v>
      </c>
      <c r="E23" s="15">
        <v>68.9</v>
      </c>
      <c r="F23" s="15">
        <v>69.5</v>
      </c>
      <c r="G23" s="15"/>
      <c r="H23" s="15">
        <v>69.0</v>
      </c>
      <c r="I23" s="111"/>
      <c r="J23" s="13">
        <v>69.2</v>
      </c>
      <c r="K23" s="13">
        <v>69.3</v>
      </c>
      <c r="L23" s="53">
        <v>69.3</v>
      </c>
      <c r="M23" s="13">
        <v>68.2</v>
      </c>
      <c r="N23" s="13">
        <v>68.5</v>
      </c>
      <c r="O23" s="13">
        <v>68.4</v>
      </c>
      <c r="P23" s="13">
        <v>69.0</v>
      </c>
      <c r="Q23" s="73">
        <v>69.0</v>
      </c>
      <c r="R23" s="73">
        <v>70.0</v>
      </c>
      <c r="S23" s="73">
        <v>69.2</v>
      </c>
      <c r="T23" s="73">
        <v>70.2</v>
      </c>
      <c r="U23" s="73">
        <v>71.3</v>
      </c>
      <c r="V23" s="73">
        <v>70.2</v>
      </c>
      <c r="W23" s="110">
        <v>70.0</v>
      </c>
      <c r="X23" s="73">
        <v>71.1</v>
      </c>
      <c r="Y23" s="73">
        <v>71.0</v>
      </c>
      <c r="Z23" s="24">
        <v>71.3</v>
      </c>
      <c r="AA23" s="20" t="s">
        <v>7</v>
      </c>
      <c r="AB23" s="21">
        <f t="shared" si="1"/>
        <v>0.3</v>
      </c>
      <c r="AC23" s="21">
        <f t="shared" si="2"/>
        <v>2.9</v>
      </c>
    </row>
    <row r="24" ht="15.75" customHeight="1">
      <c r="A24" s="13" t="s">
        <v>238</v>
      </c>
      <c r="B24" s="15">
        <v>67.5</v>
      </c>
      <c r="C24" s="15">
        <v>67.3</v>
      </c>
      <c r="D24" s="15">
        <v>66.0</v>
      </c>
      <c r="E24" s="15">
        <v>66.6</v>
      </c>
      <c r="F24" s="15">
        <v>67.1</v>
      </c>
      <c r="G24" s="73">
        <v>66.2</v>
      </c>
      <c r="H24" s="15">
        <v>67.1</v>
      </c>
      <c r="I24" s="109">
        <v>67.6</v>
      </c>
      <c r="J24" s="13">
        <v>68.4</v>
      </c>
      <c r="K24" s="13">
        <v>68.7</v>
      </c>
      <c r="L24" s="15">
        <v>68.6</v>
      </c>
      <c r="M24" s="13">
        <v>68.9</v>
      </c>
      <c r="N24" s="13">
        <v>69.0</v>
      </c>
      <c r="O24" s="13">
        <v>68.9</v>
      </c>
      <c r="P24" s="13">
        <v>69.7</v>
      </c>
      <c r="Q24" s="73">
        <v>70.0</v>
      </c>
      <c r="R24" s="73">
        <v>69.9</v>
      </c>
      <c r="S24" s="73">
        <v>69.7</v>
      </c>
      <c r="T24" s="73">
        <v>71.0</v>
      </c>
      <c r="U24" s="73">
        <v>70.3</v>
      </c>
      <c r="V24" s="73">
        <v>70.1</v>
      </c>
      <c r="W24" s="110">
        <v>72.3</v>
      </c>
      <c r="X24" s="73">
        <v>70.8</v>
      </c>
      <c r="Y24" s="73">
        <v>71.7</v>
      </c>
      <c r="Z24" s="18">
        <v>72.5</v>
      </c>
      <c r="AA24" s="20" t="s">
        <v>14</v>
      </c>
      <c r="AB24" s="21">
        <f t="shared" si="1"/>
        <v>0.8</v>
      </c>
      <c r="AC24" s="21">
        <f t="shared" si="2"/>
        <v>3.3</v>
      </c>
    </row>
    <row r="25" ht="15.75" customHeight="1">
      <c r="A25" s="13" t="s">
        <v>239</v>
      </c>
      <c r="B25" s="15">
        <v>61.6</v>
      </c>
      <c r="C25" s="15">
        <v>60.6</v>
      </c>
      <c r="D25" s="15">
        <v>59.3</v>
      </c>
      <c r="E25" s="15">
        <v>61.6</v>
      </c>
      <c r="F25" s="15">
        <v>61.7</v>
      </c>
      <c r="G25" s="73">
        <v>64.1</v>
      </c>
      <c r="H25" s="15">
        <v>65.4</v>
      </c>
      <c r="I25" s="72"/>
      <c r="J25" s="13">
        <v>62.8</v>
      </c>
      <c r="K25" s="13">
        <v>63.2</v>
      </c>
      <c r="L25" s="53">
        <v>64.3</v>
      </c>
      <c r="M25" s="13">
        <v>61.4</v>
      </c>
      <c r="N25" s="13">
        <v>61.0</v>
      </c>
      <c r="O25" s="13">
        <v>60.6</v>
      </c>
      <c r="P25" s="13">
        <v>62.8</v>
      </c>
      <c r="Q25" s="73">
        <v>61.8</v>
      </c>
      <c r="R25" s="73"/>
      <c r="S25" s="73">
        <v>61.2</v>
      </c>
      <c r="T25" s="73">
        <v>60.7</v>
      </c>
      <c r="U25" s="73" t="s">
        <v>240</v>
      </c>
      <c r="V25" s="73">
        <v>61.7</v>
      </c>
      <c r="W25" s="110">
        <v>62.0</v>
      </c>
      <c r="X25" s="73">
        <v>64.0</v>
      </c>
      <c r="Y25" s="73">
        <v>63.3</v>
      </c>
      <c r="Z25" s="19">
        <v>64.3</v>
      </c>
      <c r="AA25" s="20" t="s">
        <v>14</v>
      </c>
      <c r="AB25" s="21">
        <f t="shared" si="1"/>
        <v>1</v>
      </c>
      <c r="AC25" s="21">
        <f t="shared" si="2"/>
        <v>2.4</v>
      </c>
    </row>
    <row r="26" ht="15.75" customHeight="1">
      <c r="A26" s="31" t="s">
        <v>241</v>
      </c>
      <c r="B26" s="15"/>
      <c r="C26" s="15"/>
      <c r="D26" s="15"/>
      <c r="E26" s="15"/>
      <c r="F26" s="15">
        <v>63.8</v>
      </c>
      <c r="G26" s="73">
        <v>65.1</v>
      </c>
      <c r="H26" s="73">
        <v>63.8</v>
      </c>
      <c r="I26" s="110">
        <v>62.1</v>
      </c>
      <c r="J26" s="13">
        <v>63.8</v>
      </c>
      <c r="K26" s="13">
        <v>65.0</v>
      </c>
      <c r="L26" s="15">
        <v>65.8</v>
      </c>
      <c r="M26" s="13">
        <v>64.4</v>
      </c>
      <c r="N26" s="13">
        <v>65.0</v>
      </c>
      <c r="O26" s="13">
        <v>65.2</v>
      </c>
      <c r="P26" s="13">
        <v>64.9</v>
      </c>
      <c r="Q26" s="73">
        <v>65.8</v>
      </c>
      <c r="R26" s="73">
        <v>65.5</v>
      </c>
      <c r="S26" s="73">
        <v>66.4</v>
      </c>
      <c r="T26" s="73">
        <v>66.7</v>
      </c>
      <c r="U26" s="73">
        <v>66.6</v>
      </c>
      <c r="V26" s="73">
        <v>66.7</v>
      </c>
      <c r="W26" s="110">
        <v>66.3</v>
      </c>
      <c r="X26" s="73">
        <v>66.5</v>
      </c>
      <c r="Y26" s="73">
        <v>66.9</v>
      </c>
      <c r="Z26" s="24">
        <v>66.8</v>
      </c>
      <c r="AA26" s="20" t="s">
        <v>14</v>
      </c>
      <c r="AB26" s="21">
        <f t="shared" si="1"/>
        <v>-0.1</v>
      </c>
      <c r="AC26" s="21">
        <f t="shared" si="2"/>
        <v>66.5</v>
      </c>
    </row>
    <row r="27" ht="15.75" customHeight="1">
      <c r="A27" s="13" t="s">
        <v>242</v>
      </c>
      <c r="B27" s="15">
        <v>54.8</v>
      </c>
      <c r="C27" s="15">
        <v>54.8</v>
      </c>
      <c r="D27" s="15">
        <v>55.7</v>
      </c>
      <c r="E27" s="15">
        <v>63.8</v>
      </c>
      <c r="F27" s="15">
        <v>54.2</v>
      </c>
      <c r="G27" s="22"/>
      <c r="H27" s="15">
        <v>55.4</v>
      </c>
      <c r="I27" s="109">
        <v>55.4</v>
      </c>
      <c r="J27" s="13">
        <v>55.2</v>
      </c>
      <c r="K27" s="13">
        <v>55.5</v>
      </c>
      <c r="L27" s="15">
        <v>54.9</v>
      </c>
      <c r="M27" s="13">
        <v>54.9</v>
      </c>
      <c r="N27" s="13">
        <v>55.0</v>
      </c>
      <c r="O27" s="13">
        <v>56.0</v>
      </c>
      <c r="P27" s="13">
        <v>55.4</v>
      </c>
      <c r="Q27" s="73">
        <v>55.6</v>
      </c>
      <c r="R27" s="73">
        <v>56.2</v>
      </c>
      <c r="S27" s="73">
        <v>55.6</v>
      </c>
      <c r="T27" s="73">
        <v>56.5</v>
      </c>
      <c r="U27" s="73">
        <v>56.1</v>
      </c>
      <c r="V27" s="73">
        <v>56.5</v>
      </c>
      <c r="W27" s="110">
        <v>56.3</v>
      </c>
      <c r="X27" s="73">
        <v>56.2</v>
      </c>
      <c r="Y27" s="73">
        <v>55.2</v>
      </c>
      <c r="Z27" s="18">
        <v>56.1</v>
      </c>
      <c r="AA27" s="20" t="s">
        <v>14</v>
      </c>
      <c r="AB27" s="21">
        <f t="shared" si="1"/>
        <v>0.9</v>
      </c>
      <c r="AC27" s="21">
        <f t="shared" si="2"/>
        <v>1.4</v>
      </c>
    </row>
    <row r="28" ht="15.75" customHeight="1">
      <c r="A28" s="13" t="s">
        <v>243</v>
      </c>
      <c r="B28" s="15">
        <v>64.5</v>
      </c>
      <c r="C28" s="15">
        <v>65.5</v>
      </c>
      <c r="D28" s="15">
        <v>64.9</v>
      </c>
      <c r="E28" s="15">
        <v>64.0</v>
      </c>
      <c r="F28" s="15">
        <v>64.6</v>
      </c>
      <c r="G28" s="73">
        <v>65.1</v>
      </c>
      <c r="H28" s="15">
        <v>64.3</v>
      </c>
      <c r="I28" s="109">
        <v>64.3</v>
      </c>
      <c r="J28" s="13">
        <v>63.8</v>
      </c>
      <c r="K28" s="13">
        <v>63.9</v>
      </c>
      <c r="L28" s="15">
        <v>64.7</v>
      </c>
      <c r="M28" s="13"/>
      <c r="N28" s="13">
        <v>63.4</v>
      </c>
      <c r="O28" s="13">
        <v>64.7</v>
      </c>
      <c r="P28" s="13">
        <v>64.7</v>
      </c>
      <c r="Q28" s="73">
        <v>65.0</v>
      </c>
      <c r="R28" s="73">
        <v>65.7</v>
      </c>
      <c r="S28" s="73">
        <v>65.5</v>
      </c>
      <c r="T28" s="73">
        <v>66.2</v>
      </c>
      <c r="U28" s="73">
        <v>66.2</v>
      </c>
      <c r="V28" s="73">
        <v>66.5</v>
      </c>
      <c r="W28" s="110">
        <v>66.4</v>
      </c>
      <c r="X28" s="73">
        <v>67.3</v>
      </c>
      <c r="Y28" s="73">
        <v>68.1</v>
      </c>
      <c r="Z28" s="18">
        <v>67.5</v>
      </c>
      <c r="AA28" s="20" t="s">
        <v>14</v>
      </c>
      <c r="AB28" s="21">
        <f t="shared" si="1"/>
        <v>-0.6</v>
      </c>
      <c r="AC28" s="21">
        <f t="shared" si="2"/>
        <v>2.8</v>
      </c>
    </row>
    <row r="29" ht="15.75" customHeight="1">
      <c r="A29" s="13" t="s">
        <v>244</v>
      </c>
      <c r="B29" s="15">
        <v>60.9</v>
      </c>
      <c r="C29" s="15">
        <v>61.3</v>
      </c>
      <c r="D29" s="15">
        <v>61.5</v>
      </c>
      <c r="E29" s="15">
        <v>62.1</v>
      </c>
      <c r="F29" s="15">
        <v>61.3</v>
      </c>
      <c r="G29" s="73">
        <v>60.7</v>
      </c>
      <c r="H29" s="15">
        <v>62.5</v>
      </c>
      <c r="I29" s="109">
        <v>62.6</v>
      </c>
      <c r="J29" s="13">
        <v>61.1</v>
      </c>
      <c r="K29" s="13">
        <v>61.5</v>
      </c>
      <c r="L29" s="15">
        <v>61.2</v>
      </c>
      <c r="M29" s="13">
        <v>61.4</v>
      </c>
      <c r="N29" s="13">
        <v>61.6</v>
      </c>
      <c r="O29" s="13">
        <v>62.5</v>
      </c>
      <c r="P29" s="13">
        <v>62.3</v>
      </c>
      <c r="Q29" s="73">
        <v>62.2</v>
      </c>
      <c r="R29" s="73">
        <v>62.6</v>
      </c>
      <c r="S29" s="73">
        <v>62.0</v>
      </c>
      <c r="T29" s="73">
        <v>62.2</v>
      </c>
      <c r="U29" s="73">
        <v>62.8</v>
      </c>
      <c r="V29" s="73">
        <v>61.9</v>
      </c>
      <c r="W29" s="110">
        <v>61.7</v>
      </c>
      <c r="X29" s="73">
        <v>61.9</v>
      </c>
      <c r="Y29" s="73">
        <v>62.9</v>
      </c>
      <c r="Z29" s="18">
        <v>63.2</v>
      </c>
      <c r="AA29" s="20" t="s">
        <v>14</v>
      </c>
      <c r="AB29" s="21">
        <f t="shared" si="1"/>
        <v>0.3</v>
      </c>
      <c r="AC29" s="21">
        <f t="shared" si="2"/>
        <v>1</v>
      </c>
    </row>
    <row r="30" ht="15.75" customHeight="1">
      <c r="A30" s="13" t="s">
        <v>245</v>
      </c>
      <c r="B30" s="15">
        <v>71.2</v>
      </c>
      <c r="C30" s="15"/>
      <c r="D30" s="15">
        <v>72.9</v>
      </c>
      <c r="E30" s="15"/>
      <c r="F30" s="15">
        <v>71.3</v>
      </c>
      <c r="G30" s="73">
        <v>72.4</v>
      </c>
      <c r="H30" s="15"/>
      <c r="I30" s="109"/>
      <c r="J30" s="13">
        <v>72.5</v>
      </c>
      <c r="K30" s="13">
        <v>73.3</v>
      </c>
      <c r="L30" s="15">
        <v>72.5</v>
      </c>
      <c r="M30" s="13">
        <v>72.6</v>
      </c>
      <c r="N30" s="13">
        <v>73.1</v>
      </c>
      <c r="O30" s="13"/>
      <c r="P30" s="13">
        <v>73.2</v>
      </c>
      <c r="Q30" s="73">
        <v>73.5</v>
      </c>
      <c r="R30" s="73">
        <v>74.3</v>
      </c>
      <c r="S30" s="73">
        <v>75.3</v>
      </c>
      <c r="T30" s="73">
        <v>75.3</v>
      </c>
      <c r="U30" s="73">
        <v>74.6</v>
      </c>
      <c r="V30" s="73">
        <v>74.9</v>
      </c>
      <c r="W30" s="110">
        <v>75.6</v>
      </c>
      <c r="X30" s="73">
        <v>75.3</v>
      </c>
      <c r="Y30" s="73">
        <v>75.7</v>
      </c>
      <c r="Z30" s="18">
        <v>76.0</v>
      </c>
      <c r="AA30" s="20" t="s">
        <v>7</v>
      </c>
      <c r="AB30" s="21">
        <f t="shared" si="1"/>
        <v>0.3</v>
      </c>
      <c r="AC30" s="21">
        <f t="shared" si="2"/>
        <v>4.1</v>
      </c>
    </row>
    <row r="31" ht="15.75" customHeight="1">
      <c r="A31" s="13" t="s">
        <v>246</v>
      </c>
      <c r="B31" s="15">
        <v>56.2</v>
      </c>
      <c r="C31" s="15">
        <v>55.6</v>
      </c>
      <c r="D31" s="15">
        <v>55.4</v>
      </c>
      <c r="E31" s="15">
        <v>55.6</v>
      </c>
      <c r="F31" s="15">
        <v>55.8</v>
      </c>
      <c r="G31" s="73">
        <v>55.8</v>
      </c>
      <c r="H31" s="15">
        <v>55.8</v>
      </c>
      <c r="I31" s="111"/>
      <c r="J31" s="13">
        <v>55.8</v>
      </c>
      <c r="K31" s="13">
        <v>55.8</v>
      </c>
      <c r="L31" s="15">
        <v>55.0</v>
      </c>
      <c r="M31" s="13">
        <v>55.9</v>
      </c>
      <c r="N31" s="13">
        <v>56.2</v>
      </c>
      <c r="O31" s="13">
        <v>56.4</v>
      </c>
      <c r="P31" s="13">
        <v>56.8</v>
      </c>
      <c r="Q31" s="73">
        <v>55.8</v>
      </c>
      <c r="R31" s="73">
        <v>57.9</v>
      </c>
      <c r="S31" s="73">
        <v>56.9</v>
      </c>
      <c r="T31" s="73">
        <v>57.0</v>
      </c>
      <c r="U31" s="73">
        <v>57.4</v>
      </c>
      <c r="V31" s="73">
        <v>57.6</v>
      </c>
      <c r="W31" s="110">
        <v>56.8</v>
      </c>
      <c r="X31" s="73">
        <v>58.8</v>
      </c>
      <c r="Y31" s="73">
        <v>57.6</v>
      </c>
      <c r="Z31" s="18">
        <v>58.1</v>
      </c>
      <c r="AA31" s="20" t="s">
        <v>14</v>
      </c>
      <c r="AB31" s="21">
        <f t="shared" si="1"/>
        <v>0.5</v>
      </c>
      <c r="AC31" s="21">
        <f t="shared" si="2"/>
        <v>2.6</v>
      </c>
    </row>
    <row r="32" ht="15.75" customHeight="1">
      <c r="A32" s="13" t="s">
        <v>247</v>
      </c>
      <c r="B32" s="15">
        <v>63.8</v>
      </c>
      <c r="C32" s="15">
        <v>64.2</v>
      </c>
      <c r="D32" s="15"/>
      <c r="E32" s="15"/>
      <c r="F32" s="15">
        <v>64.8</v>
      </c>
      <c r="G32" s="73">
        <v>65.6</v>
      </c>
      <c r="H32" s="15">
        <v>66.1</v>
      </c>
      <c r="I32" s="109">
        <v>66.1</v>
      </c>
      <c r="J32" s="13"/>
      <c r="K32" s="13"/>
      <c r="L32" s="15">
        <v>64.3</v>
      </c>
      <c r="M32" s="13"/>
      <c r="N32" s="13"/>
      <c r="O32" s="13">
        <v>65.1</v>
      </c>
      <c r="P32" s="13">
        <v>66.3</v>
      </c>
      <c r="Q32" s="73"/>
      <c r="R32" s="73">
        <v>67.5</v>
      </c>
      <c r="S32" s="73">
        <v>68.2</v>
      </c>
      <c r="T32" s="73">
        <v>68.4</v>
      </c>
      <c r="U32" s="73" t="s">
        <v>248</v>
      </c>
      <c r="V32" s="73">
        <v>68.5</v>
      </c>
      <c r="W32" s="110">
        <v>68.8</v>
      </c>
      <c r="X32" s="73">
        <v>67.8</v>
      </c>
      <c r="Y32" s="73">
        <v>68.2</v>
      </c>
      <c r="Z32" s="18">
        <v>68.0</v>
      </c>
      <c r="AA32" s="20" t="s">
        <v>14</v>
      </c>
      <c r="AB32" s="21">
        <f t="shared" si="1"/>
        <v>-0.2</v>
      </c>
      <c r="AC32" s="21">
        <f t="shared" si="2"/>
        <v>4</v>
      </c>
    </row>
    <row r="33" ht="15.75" customHeight="1">
      <c r="A33" s="46" t="s">
        <v>249</v>
      </c>
      <c r="B33" s="15"/>
      <c r="C33" s="15">
        <v>78.4</v>
      </c>
      <c r="D33" s="15">
        <v>77.0</v>
      </c>
      <c r="E33" s="15">
        <v>73.8</v>
      </c>
      <c r="F33" s="15">
        <v>74.6</v>
      </c>
      <c r="G33" s="73">
        <v>75.1</v>
      </c>
      <c r="H33" s="15">
        <v>74.3</v>
      </c>
      <c r="I33" s="109">
        <v>74.7</v>
      </c>
      <c r="J33" s="13">
        <v>74.4</v>
      </c>
      <c r="K33" s="13">
        <v>75.0</v>
      </c>
      <c r="L33" s="53">
        <v>73.5</v>
      </c>
      <c r="M33" s="13">
        <v>75.3</v>
      </c>
      <c r="N33" s="13">
        <v>74.5</v>
      </c>
      <c r="O33" s="13">
        <v>76.9</v>
      </c>
      <c r="P33" s="13">
        <v>76.2</v>
      </c>
      <c r="Q33" s="73">
        <v>75.5</v>
      </c>
      <c r="R33" s="73">
        <v>76.2</v>
      </c>
      <c r="S33" s="73">
        <v>77.0</v>
      </c>
      <c r="T33" s="73">
        <v>77.6</v>
      </c>
      <c r="U33" s="73">
        <v>77.4</v>
      </c>
      <c r="V33" s="73">
        <v>76.6</v>
      </c>
      <c r="W33" s="110">
        <v>77.0</v>
      </c>
      <c r="X33" s="73">
        <v>76.5</v>
      </c>
      <c r="Y33" s="73">
        <v>76.6</v>
      </c>
      <c r="Z33" s="18">
        <v>75.7</v>
      </c>
      <c r="AA33" s="20" t="s">
        <v>7</v>
      </c>
      <c r="AB33" s="21">
        <f t="shared" si="1"/>
        <v>-0.9</v>
      </c>
      <c r="AC33" s="21">
        <f t="shared" si="2"/>
        <v>76.5</v>
      </c>
    </row>
    <row r="34" ht="15.75" customHeight="1">
      <c r="A34" s="46" t="s">
        <v>250</v>
      </c>
      <c r="B34" s="15"/>
      <c r="C34" s="15">
        <v>74.6</v>
      </c>
      <c r="D34" s="15">
        <v>73.8</v>
      </c>
      <c r="E34" s="15">
        <v>72.9</v>
      </c>
      <c r="F34" s="15">
        <v>73.2</v>
      </c>
      <c r="G34" s="73">
        <v>72.4</v>
      </c>
      <c r="H34" s="15">
        <v>72.9</v>
      </c>
      <c r="I34" s="109">
        <v>7.5</v>
      </c>
      <c r="J34" s="13">
        <v>73.5</v>
      </c>
      <c r="K34" s="13">
        <v>73.9</v>
      </c>
      <c r="L34" s="15">
        <v>73.2</v>
      </c>
      <c r="M34" s="13">
        <v>73.2</v>
      </c>
      <c r="N34" s="13">
        <v>73.8</v>
      </c>
      <c r="O34" s="13"/>
      <c r="P34" s="13">
        <v>73.9</v>
      </c>
      <c r="Q34" s="73">
        <v>73.9</v>
      </c>
      <c r="R34" s="73">
        <v>74.4</v>
      </c>
      <c r="S34" s="73">
        <v>74.2</v>
      </c>
      <c r="T34" s="73">
        <v>74.4</v>
      </c>
      <c r="U34" s="73">
        <v>74.1</v>
      </c>
      <c r="V34" s="73">
        <v>73.5</v>
      </c>
      <c r="W34" s="110">
        <v>73.7</v>
      </c>
      <c r="X34" s="73">
        <v>72.5</v>
      </c>
      <c r="Y34" s="73">
        <v>73.0</v>
      </c>
      <c r="Z34" s="24">
        <v>72.1</v>
      </c>
      <c r="AA34" s="20" t="s">
        <v>7</v>
      </c>
      <c r="AB34" s="21">
        <f t="shared" si="1"/>
        <v>-0.9</v>
      </c>
      <c r="AC34" s="21">
        <f t="shared" si="2"/>
        <v>72.5</v>
      </c>
    </row>
    <row r="35" ht="15.75" customHeight="1">
      <c r="A35" s="13" t="s">
        <v>251</v>
      </c>
      <c r="B35" s="15"/>
      <c r="C35" s="15"/>
      <c r="D35" s="15">
        <v>87.3</v>
      </c>
      <c r="E35" s="15">
        <v>85.8</v>
      </c>
      <c r="F35" s="15">
        <v>84.7</v>
      </c>
      <c r="G35" s="73">
        <v>85.9</v>
      </c>
      <c r="H35" s="15">
        <v>84.3</v>
      </c>
      <c r="I35" s="111"/>
      <c r="J35" s="13">
        <v>85.6</v>
      </c>
      <c r="K35" s="13">
        <v>84.7</v>
      </c>
      <c r="L35" s="15">
        <v>85.7</v>
      </c>
      <c r="M35" s="13">
        <v>85.7</v>
      </c>
      <c r="N35" s="13">
        <v>87.3</v>
      </c>
      <c r="O35" s="13">
        <v>86.1</v>
      </c>
      <c r="P35" s="13">
        <v>85.9</v>
      </c>
      <c r="Q35" s="73">
        <v>87.5</v>
      </c>
      <c r="R35" s="73">
        <v>86.8</v>
      </c>
      <c r="S35" s="73">
        <v>87.5</v>
      </c>
      <c r="T35" s="73">
        <v>88.2</v>
      </c>
      <c r="U35" s="73">
        <v>89.0</v>
      </c>
      <c r="V35" s="73">
        <v>88.5</v>
      </c>
      <c r="W35" s="110">
        <v>87.3</v>
      </c>
      <c r="X35" s="73">
        <v>87.4</v>
      </c>
      <c r="Y35" s="73">
        <v>88.0</v>
      </c>
      <c r="Z35" s="19">
        <v>88.7</v>
      </c>
      <c r="AA35" s="20" t="s">
        <v>7</v>
      </c>
      <c r="AB35" s="21">
        <f t="shared" si="1"/>
        <v>0.7</v>
      </c>
      <c r="AC35" s="21">
        <f t="shared" si="2"/>
        <v>87.4</v>
      </c>
    </row>
    <row r="36" ht="15.75" customHeight="1">
      <c r="A36" s="13" t="s">
        <v>252</v>
      </c>
      <c r="B36" s="15">
        <v>61.2</v>
      </c>
      <c r="C36" s="15">
        <v>63.8</v>
      </c>
      <c r="D36" s="15">
        <v>62.9</v>
      </c>
      <c r="E36" s="15">
        <v>62.7</v>
      </c>
      <c r="F36" s="15">
        <v>61.8</v>
      </c>
      <c r="G36" s="73">
        <v>61.3</v>
      </c>
      <c r="H36" s="15">
        <v>61.8</v>
      </c>
      <c r="I36" s="109">
        <v>62.3</v>
      </c>
      <c r="J36" s="13">
        <v>61.9</v>
      </c>
      <c r="K36" s="13">
        <v>62.3</v>
      </c>
      <c r="L36" s="15">
        <v>61.3</v>
      </c>
      <c r="M36" s="13">
        <v>62.5</v>
      </c>
      <c r="N36" s="13">
        <v>62.3</v>
      </c>
      <c r="O36" s="13">
        <v>63.3</v>
      </c>
      <c r="P36" s="55">
        <v>63.8</v>
      </c>
      <c r="Q36" s="73">
        <v>63.2</v>
      </c>
      <c r="R36" s="73">
        <v>63.0</v>
      </c>
      <c r="S36" s="73">
        <v>62.8</v>
      </c>
      <c r="T36" s="73">
        <v>64.2</v>
      </c>
      <c r="U36" s="73">
        <v>63.4</v>
      </c>
      <c r="V36" s="73">
        <v>64.3</v>
      </c>
      <c r="W36" s="110">
        <v>63.9</v>
      </c>
      <c r="X36" s="73">
        <v>64.5</v>
      </c>
      <c r="Y36" s="73">
        <v>64.8</v>
      </c>
      <c r="Z36" s="24">
        <v>65.5</v>
      </c>
      <c r="AA36" s="20" t="s">
        <v>14</v>
      </c>
      <c r="AB36" s="21">
        <f t="shared" si="1"/>
        <v>0.7</v>
      </c>
      <c r="AC36" s="21">
        <f t="shared" si="2"/>
        <v>3.3</v>
      </c>
    </row>
    <row r="37" ht="15.75" customHeight="1">
      <c r="A37" s="13" t="s">
        <v>253</v>
      </c>
      <c r="B37" s="15">
        <v>59.8</v>
      </c>
      <c r="C37" s="15">
        <v>62.0</v>
      </c>
      <c r="D37" s="15">
        <v>61.1</v>
      </c>
      <c r="E37" s="15">
        <v>60.6</v>
      </c>
      <c r="F37" s="15">
        <v>60.9</v>
      </c>
      <c r="G37" s="15">
        <v>59.9</v>
      </c>
      <c r="H37" s="15">
        <v>58.9</v>
      </c>
      <c r="I37" s="109">
        <v>62.4</v>
      </c>
      <c r="J37" s="13">
        <v>61.6</v>
      </c>
      <c r="K37" s="13">
        <v>62.3</v>
      </c>
      <c r="L37" s="15">
        <v>61.1</v>
      </c>
      <c r="M37" s="13">
        <v>61.4</v>
      </c>
      <c r="N37" s="13">
        <v>62.5</v>
      </c>
      <c r="O37" s="13">
        <v>61.3</v>
      </c>
      <c r="P37" s="13">
        <v>61.8</v>
      </c>
      <c r="Q37" s="73">
        <v>61.8</v>
      </c>
      <c r="R37" s="73">
        <v>62.3</v>
      </c>
      <c r="S37" s="73">
        <v>62.5</v>
      </c>
      <c r="T37" s="73">
        <v>62.4</v>
      </c>
      <c r="U37" s="73">
        <v>62.1</v>
      </c>
      <c r="V37" s="73">
        <v>62.3</v>
      </c>
      <c r="W37" s="110">
        <v>62.8</v>
      </c>
      <c r="X37" s="73">
        <v>64.0</v>
      </c>
      <c r="Y37" s="73">
        <v>64.0</v>
      </c>
      <c r="Z37" s="19">
        <v>64.0</v>
      </c>
      <c r="AA37" s="20" t="s">
        <v>14</v>
      </c>
      <c r="AB37" s="21">
        <f t="shared" si="1"/>
        <v>0</v>
      </c>
      <c r="AC37" s="21">
        <f t="shared" si="2"/>
        <v>4.2</v>
      </c>
    </row>
    <row r="38" ht="15.75" customHeight="1">
      <c r="A38" s="13" t="s">
        <v>254</v>
      </c>
      <c r="B38" s="15">
        <v>63.5</v>
      </c>
      <c r="C38" s="15">
        <v>63.0</v>
      </c>
      <c r="D38" s="15">
        <v>63.9</v>
      </c>
      <c r="E38" s="15">
        <v>64.0</v>
      </c>
      <c r="F38" s="15">
        <v>63.9</v>
      </c>
      <c r="G38" s="15">
        <v>63.0</v>
      </c>
      <c r="H38" s="15">
        <v>64.3</v>
      </c>
      <c r="I38" s="109">
        <v>65.0</v>
      </c>
      <c r="J38" s="13">
        <v>64.1</v>
      </c>
      <c r="K38" s="13">
        <v>64.5</v>
      </c>
      <c r="L38" s="15">
        <v>61.5</v>
      </c>
      <c r="M38" s="13"/>
      <c r="N38" s="13">
        <v>62.0</v>
      </c>
      <c r="O38" s="13">
        <v>62.4</v>
      </c>
      <c r="P38" s="13">
        <v>61.7</v>
      </c>
      <c r="Q38" s="73">
        <v>62.0</v>
      </c>
      <c r="R38" s="73">
        <v>65.9</v>
      </c>
      <c r="S38" s="73">
        <v>64.9</v>
      </c>
      <c r="T38" s="73">
        <v>65.8</v>
      </c>
      <c r="U38" s="73">
        <v>66.0</v>
      </c>
      <c r="V38" s="73">
        <v>66.2</v>
      </c>
      <c r="W38" s="110">
        <v>65.4</v>
      </c>
      <c r="X38" s="73">
        <v>65.6</v>
      </c>
      <c r="Y38" s="73">
        <v>66.9</v>
      </c>
      <c r="Z38" s="24">
        <v>67.2</v>
      </c>
      <c r="AA38" s="20" t="s">
        <v>14</v>
      </c>
      <c r="AB38" s="21">
        <f t="shared" si="1"/>
        <v>0.3</v>
      </c>
      <c r="AC38" s="21">
        <f t="shared" si="2"/>
        <v>2.1</v>
      </c>
    </row>
    <row r="39" ht="15.75" customHeight="1">
      <c r="A39" s="13" t="s">
        <v>255</v>
      </c>
      <c r="B39" s="15">
        <v>88.2</v>
      </c>
      <c r="C39" s="15">
        <v>86.0</v>
      </c>
      <c r="D39" s="15">
        <v>85.2</v>
      </c>
      <c r="E39" s="15">
        <v>85.5</v>
      </c>
      <c r="F39" s="15">
        <v>83.6</v>
      </c>
      <c r="G39" s="15">
        <v>82.8</v>
      </c>
      <c r="H39" s="15">
        <v>85.7</v>
      </c>
      <c r="I39" s="109">
        <v>84.5</v>
      </c>
      <c r="J39" s="13">
        <v>83.8</v>
      </c>
      <c r="K39" s="28">
        <v>86.8</v>
      </c>
      <c r="L39" s="24">
        <v>86.0</v>
      </c>
      <c r="M39" s="28"/>
      <c r="N39" s="13">
        <v>82.1</v>
      </c>
      <c r="O39" s="13">
        <v>84.9</v>
      </c>
      <c r="P39" s="13">
        <v>81.1</v>
      </c>
      <c r="Q39" s="73">
        <v>79.5</v>
      </c>
      <c r="R39" s="73"/>
      <c r="S39" s="73">
        <v>77.1</v>
      </c>
      <c r="T39" s="73">
        <v>79.5</v>
      </c>
      <c r="U39" s="73">
        <v>80.8</v>
      </c>
      <c r="V39" s="100">
        <v>82.2</v>
      </c>
      <c r="W39" s="110">
        <v>81.2</v>
      </c>
      <c r="X39" s="73">
        <v>82.2</v>
      </c>
      <c r="Y39" s="73"/>
      <c r="Z39" s="24">
        <v>78.5</v>
      </c>
      <c r="AA39" s="20" t="s">
        <v>14</v>
      </c>
      <c r="AB39" s="21">
        <f t="shared" si="1"/>
        <v>78.5</v>
      </c>
      <c r="AC39" s="21">
        <f t="shared" si="2"/>
        <v>-6</v>
      </c>
    </row>
    <row r="40" ht="15.0" customHeight="1">
      <c r="A40" s="13" t="s">
        <v>256</v>
      </c>
      <c r="B40" s="15">
        <v>54.2</v>
      </c>
      <c r="C40" s="15">
        <v>55.4</v>
      </c>
      <c r="D40" s="15">
        <v>54.1</v>
      </c>
      <c r="E40" s="15">
        <v>54.1</v>
      </c>
      <c r="F40" s="15">
        <v>53.9</v>
      </c>
      <c r="G40" s="13">
        <v>54.3</v>
      </c>
      <c r="H40" s="13">
        <v>54.2</v>
      </c>
      <c r="I40" s="109">
        <v>55.1</v>
      </c>
      <c r="J40" s="13"/>
      <c r="K40" s="28">
        <v>54.5</v>
      </c>
      <c r="L40" s="24">
        <v>55.0</v>
      </c>
      <c r="M40" s="28">
        <v>56.0</v>
      </c>
      <c r="N40" s="13">
        <v>55.7</v>
      </c>
      <c r="O40" s="13">
        <v>56.0</v>
      </c>
      <c r="P40" s="13">
        <v>55.6</v>
      </c>
      <c r="Q40" s="73">
        <v>55.7</v>
      </c>
      <c r="R40" s="73">
        <v>55.6</v>
      </c>
      <c r="S40" s="73">
        <v>56.0</v>
      </c>
      <c r="T40" s="73">
        <v>55.6</v>
      </c>
      <c r="U40" s="73" t="s">
        <v>257</v>
      </c>
      <c r="V40" s="73">
        <v>56.2</v>
      </c>
      <c r="W40" s="110">
        <v>56.9</v>
      </c>
      <c r="X40" s="73">
        <v>56.3</v>
      </c>
      <c r="Y40" s="73">
        <v>56.7</v>
      </c>
      <c r="Z40" s="19">
        <v>56.6</v>
      </c>
      <c r="AA40" s="20" t="s">
        <v>14</v>
      </c>
      <c r="AB40" s="21">
        <f t="shared" si="1"/>
        <v>-0.1</v>
      </c>
      <c r="AC40" s="21">
        <f t="shared" si="2"/>
        <v>2.1</v>
      </c>
    </row>
    <row r="41" ht="15.75" customHeight="1">
      <c r="A41" s="13" t="s">
        <v>258</v>
      </c>
      <c r="B41" s="15">
        <v>59.1</v>
      </c>
      <c r="C41" s="15">
        <v>58.8</v>
      </c>
      <c r="D41" s="15">
        <v>57.9</v>
      </c>
      <c r="E41" s="15">
        <v>58.5</v>
      </c>
      <c r="F41" s="15">
        <v>58.9</v>
      </c>
      <c r="G41" s="13"/>
      <c r="H41" s="13">
        <v>59.3</v>
      </c>
      <c r="I41" s="109">
        <v>59.6</v>
      </c>
      <c r="J41" s="13">
        <v>59.2</v>
      </c>
      <c r="K41" s="28">
        <v>59.4</v>
      </c>
      <c r="L41" s="24">
        <v>59.7</v>
      </c>
      <c r="M41" s="28">
        <v>60.2</v>
      </c>
      <c r="N41" s="13">
        <v>60.2</v>
      </c>
      <c r="O41" s="13">
        <v>59.2</v>
      </c>
      <c r="P41" s="13">
        <v>61.2</v>
      </c>
      <c r="Q41" s="73">
        <v>61.0</v>
      </c>
      <c r="R41" s="73">
        <v>61.6</v>
      </c>
      <c r="S41" s="73">
        <v>61.8</v>
      </c>
      <c r="T41" s="73">
        <v>61.4</v>
      </c>
      <c r="U41" s="73" t="s">
        <v>112</v>
      </c>
      <c r="V41" s="73">
        <v>62.6</v>
      </c>
      <c r="W41" s="110">
        <v>62.6</v>
      </c>
      <c r="X41" s="73">
        <v>62.8</v>
      </c>
      <c r="Y41" s="73">
        <v>63.5</v>
      </c>
      <c r="Z41" s="24">
        <v>62.8</v>
      </c>
      <c r="AA41" s="20" t="s">
        <v>14</v>
      </c>
      <c r="AB41" s="21">
        <f t="shared" si="1"/>
        <v>-0.7</v>
      </c>
      <c r="AC41" s="21">
        <f t="shared" si="2"/>
        <v>3.7</v>
      </c>
    </row>
    <row r="42" ht="15.75" customHeight="1"/>
    <row r="43" ht="15.75" customHeight="1">
      <c r="A43" s="58" t="s">
        <v>91</v>
      </c>
    </row>
    <row r="44" ht="15.75" customHeight="1">
      <c r="B44" s="37"/>
      <c r="C44" s="37"/>
    </row>
    <row r="45" ht="15.75" customHeight="1">
      <c r="A45" s="34" t="s">
        <v>259</v>
      </c>
      <c r="B45" s="86"/>
      <c r="C45" s="86"/>
      <c r="D45" s="34"/>
      <c r="E45" s="60">
        <v>53.6</v>
      </c>
      <c r="F45" s="60"/>
      <c r="G45" s="85"/>
      <c r="H45" s="60">
        <v>54.6</v>
      </c>
      <c r="I45" s="112">
        <v>54.6</v>
      </c>
      <c r="J45" s="61">
        <v>55.4</v>
      </c>
      <c r="K45" s="61"/>
      <c r="L45" s="60">
        <v>55.0</v>
      </c>
      <c r="M45" s="61"/>
      <c r="N45" s="61"/>
      <c r="O45" s="61"/>
      <c r="P45" s="61"/>
      <c r="Q45" s="79"/>
      <c r="R45" s="113"/>
      <c r="S45" s="113"/>
      <c r="T45" s="113"/>
      <c r="U45" s="113"/>
      <c r="V45" s="113"/>
      <c r="W45" s="113"/>
      <c r="X45" s="113"/>
      <c r="Y45" s="113"/>
      <c r="Z45" s="113"/>
      <c r="AA45" s="114"/>
    </row>
    <row r="46" ht="15.75" customHeight="1">
      <c r="B46" s="37"/>
      <c r="C46" s="37"/>
    </row>
    <row r="47" ht="15.75" customHeight="1">
      <c r="B47" s="37"/>
      <c r="C47" s="37"/>
    </row>
    <row r="48" ht="15.75" customHeight="1">
      <c r="B48" s="37"/>
      <c r="C48" s="37"/>
    </row>
    <row r="49" ht="15.75" customHeight="1">
      <c r="B49" s="37"/>
      <c r="C49" s="37"/>
    </row>
    <row r="50" ht="15.75" customHeight="1">
      <c r="B50" s="37"/>
      <c r="C50" s="37"/>
    </row>
    <row r="51" ht="15.75" customHeight="1">
      <c r="B51" s="37"/>
      <c r="C51" s="37"/>
    </row>
    <row r="52" ht="15.75" customHeight="1">
      <c r="B52" s="37"/>
      <c r="C52" s="37"/>
    </row>
    <row r="53" ht="15.75" customHeight="1">
      <c r="B53" s="37"/>
      <c r="C53" s="37"/>
    </row>
    <row r="54" ht="15.75" customHeight="1">
      <c r="B54" s="37"/>
      <c r="C54" s="37"/>
    </row>
    <row r="55" ht="15.75" customHeight="1">
      <c r="B55" s="37"/>
      <c r="C55" s="37"/>
    </row>
    <row r="56" ht="15.75" customHeight="1">
      <c r="B56" s="37"/>
      <c r="C56" s="37"/>
    </row>
    <row r="57" ht="15.75" customHeight="1">
      <c r="B57" s="37"/>
      <c r="C57" s="37"/>
    </row>
    <row r="58" ht="15.75" customHeight="1">
      <c r="B58" s="37"/>
      <c r="C58" s="37"/>
    </row>
    <row r="59" ht="15.75" customHeight="1">
      <c r="B59" s="37"/>
      <c r="C59" s="37"/>
    </row>
    <row r="60" ht="15.75" customHeight="1">
      <c r="B60" s="37"/>
      <c r="C60" s="37"/>
    </row>
    <row r="61" ht="15.75" customHeight="1">
      <c r="B61" s="37"/>
      <c r="C61" s="37"/>
    </row>
    <row r="62" ht="15.75" customHeight="1">
      <c r="B62" s="37"/>
      <c r="C62" s="37"/>
    </row>
    <row r="63" ht="15.75" customHeight="1">
      <c r="B63" s="37"/>
      <c r="C63" s="37"/>
    </row>
    <row r="64" ht="15.75" customHeight="1">
      <c r="B64" s="37"/>
      <c r="C64" s="37"/>
    </row>
    <row r="65" ht="15.75" customHeight="1">
      <c r="B65" s="37"/>
      <c r="C65" s="37"/>
    </row>
    <row r="66" ht="15.75" customHeight="1">
      <c r="B66" s="37"/>
      <c r="C66" s="37"/>
    </row>
    <row r="67" ht="15.75" customHeight="1">
      <c r="B67" s="37"/>
      <c r="C67" s="37"/>
    </row>
    <row r="68" ht="15.75" customHeight="1">
      <c r="B68" s="37"/>
      <c r="C68" s="37"/>
    </row>
    <row r="69" ht="15.75" customHeight="1">
      <c r="B69" s="37"/>
      <c r="C69" s="37"/>
    </row>
    <row r="70" ht="15.75" customHeight="1">
      <c r="B70" s="37"/>
      <c r="C70" s="37"/>
    </row>
    <row r="71" ht="15.75" customHeight="1">
      <c r="B71" s="37"/>
      <c r="C71" s="37"/>
    </row>
    <row r="72" ht="15.75" customHeight="1">
      <c r="B72" s="37"/>
      <c r="C72" s="37"/>
    </row>
    <row r="73" ht="15.75" customHeight="1">
      <c r="B73" s="37"/>
      <c r="C73" s="37"/>
    </row>
    <row r="74" ht="15.75" customHeight="1">
      <c r="B74" s="37"/>
      <c r="C74" s="37"/>
    </row>
    <row r="75" ht="15.75" customHeight="1">
      <c r="B75" s="37"/>
      <c r="C75" s="37"/>
    </row>
    <row r="76" ht="15.75" customHeight="1">
      <c r="B76" s="37"/>
      <c r="C76" s="37"/>
    </row>
    <row r="77" ht="15.75" customHeight="1">
      <c r="B77" s="37"/>
      <c r="C77" s="37"/>
    </row>
    <row r="78" ht="15.75" customHeight="1">
      <c r="B78" s="37"/>
      <c r="C78" s="37"/>
    </row>
    <row r="79" ht="15.75" customHeight="1">
      <c r="B79" s="37"/>
      <c r="C79" s="37"/>
    </row>
    <row r="80" ht="15.75" customHeight="1">
      <c r="B80" s="37"/>
      <c r="C80" s="37"/>
    </row>
    <row r="81" ht="15.75" customHeight="1">
      <c r="B81" s="37"/>
      <c r="C81" s="37"/>
    </row>
    <row r="82" ht="15.75" customHeight="1">
      <c r="B82" s="37"/>
      <c r="C82" s="37"/>
    </row>
    <row r="83" ht="15.75" customHeight="1">
      <c r="B83" s="37"/>
      <c r="C83" s="37"/>
    </row>
    <row r="84" ht="15.75" customHeight="1">
      <c r="B84" s="37"/>
      <c r="C84" s="37"/>
    </row>
    <row r="85" ht="15.75" customHeight="1">
      <c r="B85" s="37"/>
      <c r="C85" s="37"/>
    </row>
    <row r="86" ht="15.75" customHeight="1">
      <c r="B86" s="37"/>
      <c r="C86" s="37"/>
    </row>
    <row r="87" ht="15.75" customHeight="1">
      <c r="B87" s="37"/>
      <c r="C87" s="37"/>
    </row>
    <row r="88" ht="15.75" customHeight="1">
      <c r="B88" s="37"/>
      <c r="C88" s="37"/>
    </row>
    <row r="89" ht="15.75" customHeight="1">
      <c r="B89" s="37"/>
      <c r="C89" s="37"/>
    </row>
    <row r="90" ht="15.75" customHeight="1">
      <c r="B90" s="37"/>
      <c r="C90" s="37"/>
    </row>
    <row r="91" ht="15.75" customHeight="1">
      <c r="B91" s="37"/>
      <c r="C91" s="37"/>
    </row>
    <row r="92" ht="15.75" customHeight="1">
      <c r="B92" s="37"/>
      <c r="C92" s="37"/>
    </row>
    <row r="93" ht="15.75" customHeight="1">
      <c r="B93" s="37"/>
      <c r="C93" s="37"/>
    </row>
    <row r="94" ht="15.75" customHeight="1">
      <c r="B94" s="37"/>
      <c r="C94" s="37"/>
    </row>
    <row r="95" ht="15.75" customHeight="1">
      <c r="B95" s="37"/>
      <c r="C95" s="37"/>
    </row>
    <row r="96" ht="15.75" customHeight="1">
      <c r="B96" s="37"/>
      <c r="C96" s="37"/>
    </row>
    <row r="97" ht="15.75" customHeight="1">
      <c r="B97" s="37"/>
      <c r="C97" s="37"/>
    </row>
    <row r="98" ht="15.75" customHeight="1">
      <c r="B98" s="37"/>
      <c r="C98" s="37"/>
    </row>
    <row r="99" ht="15.75" customHeight="1">
      <c r="B99" s="37"/>
      <c r="C99" s="37"/>
    </row>
    <row r="100" ht="15.75" customHeight="1">
      <c r="B100" s="37"/>
      <c r="C100" s="37"/>
    </row>
    <row r="101" ht="15.75" customHeight="1">
      <c r="B101" s="37"/>
      <c r="C101" s="37"/>
    </row>
    <row r="102" ht="15.75" customHeight="1">
      <c r="B102" s="37"/>
      <c r="C102" s="37"/>
    </row>
    <row r="103" ht="15.75" customHeight="1">
      <c r="B103" s="37"/>
      <c r="C103" s="37"/>
    </row>
    <row r="104" ht="15.75" customHeight="1">
      <c r="B104" s="37"/>
      <c r="C104" s="37"/>
    </row>
    <row r="105" ht="15.75" customHeight="1">
      <c r="B105" s="37"/>
      <c r="C105" s="37"/>
    </row>
    <row r="106" ht="15.75" customHeight="1">
      <c r="B106" s="37"/>
      <c r="C106" s="37"/>
    </row>
    <row r="107" ht="15.75" customHeight="1">
      <c r="B107" s="37"/>
      <c r="C107" s="37"/>
    </row>
    <row r="108" ht="15.75" customHeight="1">
      <c r="B108" s="37"/>
      <c r="C108" s="37"/>
    </row>
    <row r="109" ht="15.75" customHeight="1">
      <c r="B109" s="37"/>
      <c r="C109" s="37"/>
    </row>
    <row r="110" ht="15.75" customHeight="1">
      <c r="B110" s="37"/>
      <c r="C110" s="37"/>
    </row>
    <row r="111" ht="15.75" customHeight="1">
      <c r="B111" s="37"/>
      <c r="C111" s="37"/>
    </row>
    <row r="112" ht="15.75" customHeight="1">
      <c r="B112" s="37"/>
      <c r="C112" s="37"/>
    </row>
    <row r="113" ht="15.75" customHeight="1">
      <c r="B113" s="37"/>
      <c r="C113" s="37"/>
    </row>
    <row r="114" ht="15.75" customHeight="1">
      <c r="B114" s="37"/>
      <c r="C114" s="37"/>
    </row>
    <row r="115" ht="15.75" customHeight="1">
      <c r="B115" s="37"/>
      <c r="C115" s="37"/>
    </row>
    <row r="116" ht="15.75" customHeight="1">
      <c r="B116" s="37"/>
      <c r="C116" s="37"/>
    </row>
    <row r="117" ht="15.75" customHeight="1">
      <c r="B117" s="37"/>
      <c r="C117" s="37"/>
    </row>
    <row r="118" ht="15.75" customHeight="1">
      <c r="B118" s="37"/>
      <c r="C118" s="37"/>
    </row>
    <row r="119" ht="15.75" customHeight="1">
      <c r="B119" s="37"/>
      <c r="C119" s="37"/>
    </row>
    <row r="120" ht="15.75" customHeight="1">
      <c r="B120" s="37"/>
      <c r="C120" s="37"/>
    </row>
    <row r="121" ht="15.75" customHeight="1">
      <c r="B121" s="37"/>
      <c r="C121" s="37"/>
    </row>
    <row r="122" ht="15.75" customHeight="1">
      <c r="B122" s="37"/>
      <c r="C122" s="37"/>
    </row>
    <row r="123" ht="15.75" customHeight="1">
      <c r="B123" s="37"/>
      <c r="C123" s="37"/>
    </row>
    <row r="124" ht="15.75" customHeight="1">
      <c r="B124" s="37"/>
      <c r="C124" s="37"/>
    </row>
    <row r="125" ht="15.75" customHeight="1">
      <c r="B125" s="37"/>
      <c r="C125" s="37"/>
    </row>
    <row r="126" ht="15.75" customHeight="1">
      <c r="B126" s="37"/>
      <c r="C126" s="37"/>
    </row>
    <row r="127" ht="15.75" customHeight="1">
      <c r="B127" s="37"/>
      <c r="C127" s="37"/>
    </row>
    <row r="128" ht="15.75" customHeight="1">
      <c r="B128" s="37"/>
      <c r="C128" s="37"/>
    </row>
    <row r="129" ht="15.75" customHeight="1">
      <c r="B129" s="37"/>
      <c r="C129" s="37"/>
    </row>
    <row r="130" ht="15.75" customHeight="1">
      <c r="B130" s="37"/>
      <c r="C130" s="37"/>
    </row>
    <row r="131" ht="15.75" customHeight="1">
      <c r="B131" s="37"/>
      <c r="C131" s="37"/>
    </row>
    <row r="132" ht="15.75" customHeight="1">
      <c r="B132" s="37"/>
      <c r="C132" s="37"/>
    </row>
    <row r="133" ht="15.75" customHeight="1">
      <c r="B133" s="37"/>
      <c r="C133" s="37"/>
    </row>
    <row r="134" ht="15.75" customHeight="1">
      <c r="B134" s="37"/>
      <c r="C134" s="37"/>
    </row>
    <row r="135" ht="15.75" customHeight="1">
      <c r="B135" s="37"/>
      <c r="C135" s="37"/>
    </row>
    <row r="136" ht="15.75" customHeight="1">
      <c r="B136" s="37"/>
      <c r="C136" s="37"/>
    </row>
    <row r="137" ht="15.75" customHeight="1">
      <c r="B137" s="37"/>
      <c r="C137" s="37"/>
    </row>
    <row r="138" ht="15.75" customHeight="1">
      <c r="B138" s="37"/>
      <c r="C138" s="37"/>
    </row>
    <row r="139" ht="15.75" customHeight="1">
      <c r="B139" s="37"/>
      <c r="C139" s="37"/>
    </row>
    <row r="140" ht="15.75" customHeight="1">
      <c r="B140" s="37"/>
      <c r="C140" s="37"/>
    </row>
    <row r="141" ht="15.75" customHeight="1">
      <c r="B141" s="37"/>
      <c r="C141" s="37"/>
    </row>
    <row r="142" ht="15.75" customHeight="1">
      <c r="B142" s="37"/>
      <c r="C142" s="37"/>
    </row>
    <row r="143" ht="15.75" customHeight="1">
      <c r="B143" s="37"/>
      <c r="C143" s="37"/>
    </row>
    <row r="144" ht="15.75" customHeight="1">
      <c r="B144" s="37"/>
      <c r="C144" s="37"/>
    </row>
    <row r="145" ht="15.75" customHeight="1">
      <c r="B145" s="37"/>
      <c r="C145" s="37"/>
    </row>
    <row r="146" ht="15.75" customHeight="1">
      <c r="B146" s="37"/>
      <c r="C146" s="37"/>
    </row>
    <row r="147" ht="15.75" customHeight="1">
      <c r="B147" s="37"/>
      <c r="C147" s="37"/>
    </row>
    <row r="148" ht="15.75" customHeight="1">
      <c r="B148" s="37"/>
      <c r="C148" s="37"/>
    </row>
    <row r="149" ht="15.75" customHeight="1">
      <c r="B149" s="37"/>
      <c r="C149" s="37"/>
    </row>
    <row r="150" ht="15.75" customHeight="1">
      <c r="B150" s="37"/>
      <c r="C150" s="37"/>
    </row>
    <row r="151" ht="15.75" customHeight="1">
      <c r="B151" s="37"/>
      <c r="C151" s="37"/>
    </row>
    <row r="152" ht="15.75" customHeight="1">
      <c r="B152" s="37"/>
      <c r="C152" s="37"/>
    </row>
    <row r="153" ht="15.75" customHeight="1">
      <c r="B153" s="37"/>
      <c r="C153" s="37"/>
    </row>
    <row r="154" ht="15.75" customHeight="1">
      <c r="B154" s="37"/>
      <c r="C154" s="37"/>
    </row>
    <row r="155" ht="15.75" customHeight="1">
      <c r="B155" s="37"/>
      <c r="C155" s="37"/>
    </row>
    <row r="156" ht="15.75" customHeight="1">
      <c r="B156" s="37"/>
      <c r="C156" s="37"/>
    </row>
    <row r="157" ht="15.75" customHeight="1">
      <c r="B157" s="37"/>
      <c r="C157" s="37"/>
    </row>
    <row r="158" ht="15.75" customHeight="1">
      <c r="B158" s="37"/>
      <c r="C158" s="37"/>
    </row>
    <row r="159" ht="15.75" customHeight="1">
      <c r="B159" s="37"/>
      <c r="C159" s="37"/>
    </row>
    <row r="160" ht="15.75" customHeight="1">
      <c r="B160" s="37"/>
      <c r="C160" s="37"/>
    </row>
    <row r="161" ht="15.75" customHeight="1">
      <c r="B161" s="37"/>
      <c r="C161" s="37"/>
    </row>
    <row r="162" ht="15.75" customHeight="1">
      <c r="B162" s="37"/>
      <c r="C162" s="37"/>
    </row>
    <row r="163" ht="15.75" customHeight="1">
      <c r="B163" s="37"/>
      <c r="C163" s="37"/>
    </row>
    <row r="164" ht="15.75" customHeight="1">
      <c r="B164" s="37"/>
      <c r="C164" s="37"/>
    </row>
    <row r="165" ht="15.75" customHeight="1">
      <c r="B165" s="37"/>
      <c r="C165" s="37"/>
    </row>
    <row r="166" ht="15.75" customHeight="1">
      <c r="B166" s="37"/>
      <c r="C166" s="37"/>
    </row>
    <row r="167" ht="15.75" customHeight="1">
      <c r="B167" s="37"/>
      <c r="C167" s="37"/>
    </row>
    <row r="168" ht="15.75" customHeight="1">
      <c r="B168" s="37"/>
      <c r="C168" s="37"/>
    </row>
    <row r="169" ht="15.75" customHeight="1">
      <c r="B169" s="37"/>
      <c r="C169" s="37"/>
    </row>
    <row r="170" ht="15.75" customHeight="1">
      <c r="B170" s="37"/>
      <c r="C170" s="37"/>
    </row>
    <row r="171" ht="15.75" customHeight="1">
      <c r="B171" s="37"/>
      <c r="C171" s="37"/>
    </row>
    <row r="172" ht="15.75" customHeight="1">
      <c r="B172" s="37"/>
      <c r="C172" s="37"/>
    </row>
    <row r="173" ht="15.75" customHeight="1">
      <c r="B173" s="37"/>
      <c r="C173" s="37"/>
    </row>
    <row r="174" ht="15.75" customHeight="1">
      <c r="B174" s="37"/>
      <c r="C174" s="37"/>
    </row>
    <row r="175" ht="15.75" customHeight="1">
      <c r="B175" s="37"/>
      <c r="C175" s="37"/>
    </row>
    <row r="176" ht="15.75" customHeight="1">
      <c r="B176" s="37"/>
      <c r="C176" s="37"/>
    </row>
    <row r="177" ht="15.75" customHeight="1">
      <c r="B177" s="37"/>
      <c r="C177" s="37"/>
    </row>
    <row r="178" ht="15.75" customHeight="1">
      <c r="B178" s="37"/>
      <c r="C178" s="37"/>
    </row>
    <row r="179" ht="15.75" customHeight="1">
      <c r="B179" s="37"/>
      <c r="C179" s="37"/>
    </row>
    <row r="180" ht="15.75" customHeight="1">
      <c r="B180" s="37"/>
      <c r="C180" s="37"/>
    </row>
    <row r="181" ht="15.75" customHeight="1">
      <c r="B181" s="37"/>
      <c r="C181" s="37"/>
    </row>
    <row r="182" ht="15.75" customHeight="1">
      <c r="B182" s="37"/>
      <c r="C182" s="37"/>
    </row>
    <row r="183" ht="15.75" customHeight="1">
      <c r="B183" s="37"/>
      <c r="C183" s="37"/>
    </row>
    <row r="184" ht="15.75" customHeight="1">
      <c r="B184" s="37"/>
      <c r="C184" s="37"/>
    </row>
    <row r="185" ht="15.75" customHeight="1">
      <c r="B185" s="37"/>
      <c r="C185" s="37"/>
    </row>
    <row r="186" ht="15.75" customHeight="1">
      <c r="B186" s="37"/>
      <c r="C186" s="37"/>
    </row>
    <row r="187" ht="15.75" customHeight="1">
      <c r="B187" s="37"/>
      <c r="C187" s="37"/>
    </row>
    <row r="188" ht="15.75" customHeight="1">
      <c r="B188" s="37"/>
      <c r="C188" s="37"/>
    </row>
    <row r="189" ht="15.75" customHeight="1">
      <c r="B189" s="37"/>
      <c r="C189" s="37"/>
    </row>
    <row r="190" ht="15.75" customHeight="1">
      <c r="B190" s="37"/>
      <c r="C190" s="37"/>
    </row>
    <row r="191" ht="15.75" customHeight="1">
      <c r="B191" s="37"/>
      <c r="C191" s="37"/>
    </row>
    <row r="192" ht="15.75" customHeight="1">
      <c r="B192" s="37"/>
      <c r="C192" s="37"/>
    </row>
    <row r="193" ht="15.75" customHeight="1">
      <c r="B193" s="37"/>
      <c r="C193" s="37"/>
    </row>
    <row r="194" ht="15.75" customHeight="1">
      <c r="B194" s="37"/>
      <c r="C194" s="37"/>
    </row>
    <row r="195" ht="15.75" customHeight="1">
      <c r="B195" s="37"/>
      <c r="C195" s="37"/>
    </row>
    <row r="196" ht="15.75" customHeight="1">
      <c r="B196" s="37"/>
      <c r="C196" s="37"/>
    </row>
    <row r="197" ht="15.75" customHeight="1">
      <c r="B197" s="37"/>
      <c r="C197" s="37"/>
    </row>
    <row r="198" ht="15.75" customHeight="1">
      <c r="B198" s="37"/>
      <c r="C198" s="37"/>
    </row>
    <row r="199" ht="15.75" customHeight="1">
      <c r="B199" s="37"/>
      <c r="C199" s="37"/>
    </row>
    <row r="200" ht="15.75" customHeight="1">
      <c r="B200" s="37"/>
      <c r="C200" s="37"/>
    </row>
    <row r="201" ht="15.75" customHeight="1">
      <c r="B201" s="37"/>
      <c r="C201" s="37"/>
    </row>
    <row r="202" ht="15.75" customHeight="1">
      <c r="B202" s="37"/>
      <c r="C202" s="37"/>
    </row>
    <row r="203" ht="15.75" customHeight="1">
      <c r="B203" s="37"/>
      <c r="C203" s="37"/>
    </row>
    <row r="204" ht="15.75" customHeight="1">
      <c r="B204" s="37"/>
      <c r="C204" s="37"/>
    </row>
    <row r="205" ht="15.75" customHeight="1">
      <c r="B205" s="37"/>
      <c r="C205" s="37"/>
    </row>
    <row r="206" ht="15.75" customHeight="1">
      <c r="B206" s="37"/>
      <c r="C206" s="37"/>
    </row>
    <row r="207" ht="15.75" customHeight="1">
      <c r="B207" s="37"/>
      <c r="C207" s="37"/>
    </row>
    <row r="208" ht="15.75" customHeight="1">
      <c r="B208" s="37"/>
      <c r="C208" s="37"/>
    </row>
    <row r="209" ht="15.75" customHeight="1">
      <c r="B209" s="37"/>
      <c r="C209" s="37"/>
    </row>
    <row r="210" ht="15.75" customHeight="1">
      <c r="B210" s="37"/>
      <c r="C210" s="37"/>
    </row>
    <row r="211" ht="15.75" customHeight="1">
      <c r="B211" s="37"/>
      <c r="C211" s="37"/>
    </row>
    <row r="212" ht="15.75" customHeight="1">
      <c r="B212" s="37"/>
      <c r="C212" s="37"/>
    </row>
    <row r="213" ht="15.75" customHeight="1">
      <c r="B213" s="37"/>
      <c r="C213" s="37"/>
    </row>
    <row r="214" ht="15.75" customHeight="1">
      <c r="B214" s="37"/>
      <c r="C214" s="37"/>
    </row>
    <row r="215" ht="15.75" customHeight="1">
      <c r="B215" s="37"/>
      <c r="C215" s="37"/>
    </row>
    <row r="216" ht="15.75" customHeight="1">
      <c r="B216" s="37"/>
      <c r="C216" s="37"/>
    </row>
    <row r="217" ht="15.75" customHeight="1">
      <c r="B217" s="37"/>
      <c r="C217" s="37"/>
    </row>
    <row r="218" ht="15.75" customHeight="1">
      <c r="B218" s="37"/>
      <c r="C218" s="37"/>
    </row>
    <row r="219" ht="15.75" customHeight="1">
      <c r="B219" s="37"/>
      <c r="C219" s="37"/>
    </row>
    <row r="220" ht="15.75" customHeight="1">
      <c r="B220" s="37"/>
      <c r="C220" s="37"/>
    </row>
    <row r="221" ht="15.75" customHeight="1">
      <c r="B221" s="37"/>
      <c r="C221" s="37"/>
    </row>
    <row r="222" ht="15.75" customHeight="1">
      <c r="B222" s="37"/>
      <c r="C222" s="37"/>
    </row>
    <row r="223" ht="15.75" customHeight="1">
      <c r="B223" s="37"/>
      <c r="C223" s="37"/>
    </row>
    <row r="224" ht="15.75" customHeight="1">
      <c r="B224" s="37"/>
      <c r="C224" s="37"/>
    </row>
    <row r="225" ht="15.75" customHeight="1">
      <c r="B225" s="37"/>
      <c r="C225" s="37"/>
    </row>
    <row r="226" ht="15.75" customHeight="1">
      <c r="B226" s="37"/>
      <c r="C226" s="37"/>
    </row>
    <row r="227" ht="15.75" customHeight="1">
      <c r="B227" s="37"/>
      <c r="C227" s="37"/>
    </row>
    <row r="228" ht="15.75" customHeight="1">
      <c r="B228" s="37"/>
      <c r="C228" s="37"/>
    </row>
    <row r="229" ht="15.75" customHeight="1">
      <c r="B229" s="37"/>
      <c r="C229" s="37"/>
    </row>
    <row r="230" ht="15.75" customHeight="1">
      <c r="B230" s="37"/>
      <c r="C230" s="37"/>
    </row>
    <row r="231" ht="15.75" customHeight="1">
      <c r="B231" s="37"/>
      <c r="C231" s="37"/>
    </row>
    <row r="232" ht="15.75" customHeight="1">
      <c r="B232" s="37"/>
      <c r="C232" s="37"/>
    </row>
    <row r="233" ht="15.75" customHeight="1">
      <c r="B233" s="37"/>
      <c r="C233" s="37"/>
    </row>
    <row r="234" ht="15.75" customHeight="1">
      <c r="B234" s="37"/>
      <c r="C234" s="37"/>
    </row>
    <row r="235" ht="15.75" customHeight="1">
      <c r="B235" s="37"/>
      <c r="C235" s="37"/>
    </row>
    <row r="236" ht="15.75" customHeight="1">
      <c r="B236" s="37"/>
      <c r="C236" s="37"/>
    </row>
    <row r="237" ht="15.75" customHeight="1">
      <c r="B237" s="37"/>
      <c r="C237" s="37"/>
    </row>
    <row r="238" ht="15.75" customHeight="1">
      <c r="B238" s="37"/>
      <c r="C238" s="37"/>
    </row>
    <row r="239" ht="15.75" customHeight="1">
      <c r="B239" s="37"/>
      <c r="C239" s="37"/>
    </row>
    <row r="240" ht="15.75" customHeight="1">
      <c r="B240" s="37"/>
      <c r="C240" s="37"/>
    </row>
    <row r="241" ht="15.75" customHeight="1">
      <c r="B241" s="37"/>
      <c r="C241" s="37"/>
    </row>
    <row r="242" ht="15.75" customHeight="1">
      <c r="B242" s="37"/>
      <c r="C242" s="37"/>
    </row>
    <row r="243" ht="15.75" customHeight="1">
      <c r="B243" s="37"/>
      <c r="C243" s="37"/>
    </row>
    <row r="244" ht="15.75" customHeight="1">
      <c r="B244" s="37"/>
      <c r="C244" s="37"/>
    </row>
    <row r="245" ht="15.75" customHeight="1">
      <c r="B245" s="37"/>
      <c r="C245" s="37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$41">
    <sortState ref="A2:A41">
      <sortCondition ref="A2:A41"/>
    </sortState>
  </autoFilter>
  <mergeCells count="1">
    <mergeCell ref="B1:AO1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0.38"/>
    <col customWidth="1" min="2" max="2" width="7.38"/>
    <col customWidth="1" min="3" max="3" width="6.63"/>
    <col customWidth="1" min="4" max="4" width="7.0"/>
    <col customWidth="1" min="5" max="5" width="7.5"/>
    <col customWidth="1" min="6" max="6" width="6.63"/>
    <col customWidth="1" min="7" max="7" width="7.25"/>
    <col customWidth="1" min="8" max="8" width="6.75"/>
    <col customWidth="1" min="9" max="10" width="5.63"/>
    <col customWidth="1" min="11" max="11" width="6.63"/>
    <col customWidth="1" min="12" max="12" width="7.75"/>
    <col customWidth="1" min="13" max="13" width="7.25"/>
    <col customWidth="1" min="14" max="14" width="6.75"/>
    <col customWidth="1" min="15" max="17" width="7.13"/>
    <col customWidth="1" min="18" max="18" width="7.38"/>
    <col customWidth="1" min="19" max="20" width="7.13"/>
    <col customWidth="1" min="21" max="22" width="7.75"/>
    <col customWidth="1" min="23" max="24" width="7.5"/>
    <col customWidth="1" min="25" max="25" width="7.88"/>
    <col customWidth="1" min="26" max="26" width="15.13"/>
  </cols>
  <sheetData>
    <row r="1" ht="16.5" customHeight="1">
      <c r="A1" s="39" t="s">
        <v>260</v>
      </c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2"/>
      <c r="AR1" s="42"/>
      <c r="AS1" s="42"/>
    </row>
    <row r="2" ht="15.75" customHeight="1">
      <c r="A2" s="1" t="s">
        <v>0</v>
      </c>
      <c r="B2" s="4">
        <v>45679.0</v>
      </c>
      <c r="C2" s="4">
        <v>45686.0</v>
      </c>
      <c r="D2" s="4">
        <v>45728.0</v>
      </c>
      <c r="E2" s="4">
        <v>45735.0</v>
      </c>
      <c r="F2" s="4">
        <v>45749.0</v>
      </c>
      <c r="G2" s="4">
        <v>45756.0</v>
      </c>
      <c r="H2" s="4">
        <v>45763.0</v>
      </c>
      <c r="I2" s="4">
        <v>45770.0</v>
      </c>
      <c r="J2" s="4">
        <v>45777.0</v>
      </c>
      <c r="K2" s="4">
        <v>45784.0</v>
      </c>
      <c r="L2" s="115">
        <v>45791.0</v>
      </c>
      <c r="M2" s="7">
        <v>45798.0</v>
      </c>
      <c r="N2" s="8">
        <v>45812.0</v>
      </c>
      <c r="O2" s="7">
        <v>45819.0</v>
      </c>
      <c r="P2" s="7">
        <v>45826.0</v>
      </c>
      <c r="Q2" s="7">
        <v>45849.0</v>
      </c>
      <c r="R2" s="7">
        <v>45861.0</v>
      </c>
      <c r="S2" s="7">
        <v>45868.0</v>
      </c>
      <c r="T2" s="7">
        <v>45875.0</v>
      </c>
      <c r="U2" s="7">
        <v>45882.0</v>
      </c>
      <c r="V2" s="7">
        <v>45896.0</v>
      </c>
      <c r="W2" s="7">
        <v>45903.0</v>
      </c>
      <c r="X2" s="7">
        <v>45910.0</v>
      </c>
      <c r="Y2" s="7">
        <v>45917.0</v>
      </c>
      <c r="Z2" s="9" t="s">
        <v>2</v>
      </c>
      <c r="AA2" s="9" t="s">
        <v>3</v>
      </c>
      <c r="AB2" s="9" t="s">
        <v>4</v>
      </c>
      <c r="AC2" s="10"/>
      <c r="AD2" s="10"/>
      <c r="AE2" s="11"/>
      <c r="AF2" s="11"/>
      <c r="AG2" s="12"/>
      <c r="AH2" s="11"/>
      <c r="AI2" s="11"/>
      <c r="AJ2" s="11"/>
      <c r="AK2" s="11"/>
      <c r="AL2" s="12"/>
      <c r="AM2" s="12"/>
      <c r="AN2" s="11"/>
      <c r="AO2" s="11"/>
      <c r="AP2" s="12"/>
      <c r="AQ2" s="11"/>
      <c r="AR2" s="11"/>
      <c r="AS2" s="11"/>
    </row>
    <row r="3" ht="15.75" customHeight="1">
      <c r="A3" s="46" t="s">
        <v>261</v>
      </c>
      <c r="B3" s="15">
        <v>80.0</v>
      </c>
      <c r="C3" s="15">
        <v>80.2</v>
      </c>
      <c r="D3" s="15">
        <v>79.7</v>
      </c>
      <c r="E3" s="15">
        <v>80.3</v>
      </c>
      <c r="F3" s="15">
        <v>80.2</v>
      </c>
      <c r="G3" s="15">
        <v>81.0</v>
      </c>
      <c r="H3" s="13">
        <v>81.5</v>
      </c>
      <c r="I3" s="73"/>
      <c r="J3" s="116">
        <v>81.2</v>
      </c>
      <c r="K3" s="116">
        <v>81.2</v>
      </c>
      <c r="L3" s="116">
        <v>79.7</v>
      </c>
      <c r="M3" s="117">
        <v>79.7</v>
      </c>
      <c r="N3" s="118">
        <v>81.7</v>
      </c>
      <c r="O3" s="119">
        <v>81.2</v>
      </c>
      <c r="P3" s="119">
        <v>82.4</v>
      </c>
      <c r="Q3" s="119">
        <v>83.0</v>
      </c>
      <c r="R3" s="119">
        <v>83.2</v>
      </c>
      <c r="S3" s="119">
        <v>82.6</v>
      </c>
      <c r="T3" s="119">
        <v>82.6</v>
      </c>
      <c r="U3" s="119">
        <v>83.0</v>
      </c>
      <c r="V3" s="119">
        <v>82.9</v>
      </c>
      <c r="W3" s="120">
        <v>83.2</v>
      </c>
      <c r="X3" s="120">
        <v>82.9</v>
      </c>
      <c r="Y3" s="18">
        <v>82.6</v>
      </c>
      <c r="Z3" s="20" t="s">
        <v>7</v>
      </c>
      <c r="AA3" s="21">
        <f t="shared" ref="AA3:AA44" si="1">Y3-X3</f>
        <v>-0.3</v>
      </c>
      <c r="AB3" s="21">
        <f t="shared" ref="AB3:AB16" si="2">W3-B3</f>
        <v>3.2</v>
      </c>
    </row>
    <row r="4" ht="15.75" customHeight="1">
      <c r="A4" s="13" t="s">
        <v>262</v>
      </c>
      <c r="B4" s="15">
        <v>48.3</v>
      </c>
      <c r="C4" s="15">
        <v>48.0</v>
      </c>
      <c r="D4" s="15">
        <v>47.4</v>
      </c>
      <c r="E4" s="15">
        <v>47.8</v>
      </c>
      <c r="F4" s="15">
        <v>47.4</v>
      </c>
      <c r="G4" s="15">
        <v>47.8</v>
      </c>
      <c r="H4" s="13">
        <v>47.9</v>
      </c>
      <c r="I4" s="73">
        <v>48.0</v>
      </c>
      <c r="J4" s="116">
        <v>47.7</v>
      </c>
      <c r="K4" s="116">
        <v>48.2</v>
      </c>
      <c r="L4" s="116">
        <v>47.9</v>
      </c>
      <c r="M4" s="117">
        <v>48.4</v>
      </c>
      <c r="N4" s="118">
        <v>48.9</v>
      </c>
      <c r="O4" s="119">
        <v>49.6</v>
      </c>
      <c r="P4" s="119">
        <v>50.4</v>
      </c>
      <c r="Q4" s="119">
        <v>50.6</v>
      </c>
      <c r="R4" s="119">
        <v>50.5</v>
      </c>
      <c r="S4" s="119" t="s">
        <v>263</v>
      </c>
      <c r="T4" s="119">
        <v>50.1</v>
      </c>
      <c r="U4" s="119">
        <v>49.5</v>
      </c>
      <c r="V4" s="119">
        <v>49.7</v>
      </c>
      <c r="W4" s="120">
        <v>50.5</v>
      </c>
      <c r="X4" s="120">
        <v>50.2</v>
      </c>
      <c r="Y4" s="18">
        <v>50.9</v>
      </c>
      <c r="Z4" s="20" t="s">
        <v>17</v>
      </c>
      <c r="AA4" s="21">
        <f t="shared" si="1"/>
        <v>0.7</v>
      </c>
      <c r="AB4" s="21">
        <f t="shared" si="2"/>
        <v>2.2</v>
      </c>
    </row>
    <row r="5" ht="15.75" customHeight="1">
      <c r="A5" s="13" t="s">
        <v>264</v>
      </c>
      <c r="B5" s="15">
        <v>55.2</v>
      </c>
      <c r="C5" s="15">
        <v>55.0</v>
      </c>
      <c r="D5" s="15">
        <v>55.7</v>
      </c>
      <c r="E5" s="15">
        <v>57.1</v>
      </c>
      <c r="F5" s="15">
        <v>56.7</v>
      </c>
      <c r="G5" s="15">
        <v>58.4</v>
      </c>
      <c r="H5" s="13">
        <v>57.6</v>
      </c>
      <c r="I5" s="73">
        <v>58.1</v>
      </c>
      <c r="J5" s="116">
        <v>57.2</v>
      </c>
      <c r="K5" s="116">
        <v>57.4</v>
      </c>
      <c r="L5" s="116">
        <v>57.7</v>
      </c>
      <c r="M5" s="117">
        <v>57.7</v>
      </c>
      <c r="N5" s="118">
        <v>58.0</v>
      </c>
      <c r="O5" s="119">
        <v>57.8</v>
      </c>
      <c r="P5" s="119">
        <v>59.0</v>
      </c>
      <c r="Q5" s="119">
        <v>60.0</v>
      </c>
      <c r="R5" s="119">
        <v>59.4</v>
      </c>
      <c r="S5" s="119" t="s">
        <v>265</v>
      </c>
      <c r="T5" s="119">
        <v>59.6</v>
      </c>
      <c r="U5" s="119">
        <v>60.2</v>
      </c>
      <c r="V5" s="119">
        <v>60.1</v>
      </c>
      <c r="W5" s="120">
        <v>60.0</v>
      </c>
      <c r="X5" s="120">
        <v>61.1</v>
      </c>
      <c r="Y5" s="24">
        <v>61.7</v>
      </c>
      <c r="Z5" s="20" t="s">
        <v>14</v>
      </c>
      <c r="AA5" s="21">
        <f t="shared" si="1"/>
        <v>0.6</v>
      </c>
      <c r="AB5" s="21">
        <f t="shared" si="2"/>
        <v>4.8</v>
      </c>
    </row>
    <row r="6" ht="15.75" customHeight="1">
      <c r="A6" s="46" t="s">
        <v>266</v>
      </c>
      <c r="B6" s="15">
        <v>48.3</v>
      </c>
      <c r="C6" s="15"/>
      <c r="D6" s="15">
        <v>50.6</v>
      </c>
      <c r="E6" s="15">
        <v>51.4</v>
      </c>
      <c r="F6" s="15">
        <v>51.3</v>
      </c>
      <c r="G6" s="15">
        <v>52.2</v>
      </c>
      <c r="H6" s="13"/>
      <c r="I6" s="73">
        <v>53.3</v>
      </c>
      <c r="J6" s="116">
        <v>52.6</v>
      </c>
      <c r="K6" s="116">
        <v>51.9</v>
      </c>
      <c r="L6" s="116">
        <v>52.6</v>
      </c>
      <c r="M6" s="117">
        <v>53.0</v>
      </c>
      <c r="N6" s="118">
        <v>53.3</v>
      </c>
      <c r="O6" s="119">
        <v>53.9</v>
      </c>
      <c r="P6" s="119">
        <v>54.0</v>
      </c>
      <c r="Q6" s="119">
        <v>55.0</v>
      </c>
      <c r="R6" s="119">
        <v>54.4</v>
      </c>
      <c r="S6" s="119" t="s">
        <v>267</v>
      </c>
      <c r="T6" s="119">
        <v>54.8</v>
      </c>
      <c r="U6" s="119">
        <v>54.8</v>
      </c>
      <c r="V6" s="119">
        <v>55.3</v>
      </c>
      <c r="W6" s="120">
        <v>55.3</v>
      </c>
      <c r="X6" s="120">
        <v>55.3</v>
      </c>
      <c r="Y6" s="18">
        <v>55.4</v>
      </c>
      <c r="Z6" s="20" t="s">
        <v>14</v>
      </c>
      <c r="AA6" s="21">
        <f t="shared" si="1"/>
        <v>0.1</v>
      </c>
      <c r="AB6" s="21">
        <f t="shared" si="2"/>
        <v>7</v>
      </c>
    </row>
    <row r="7" ht="15.75" customHeight="1">
      <c r="A7" s="13" t="s">
        <v>268</v>
      </c>
      <c r="B7" s="15">
        <v>55.9</v>
      </c>
      <c r="C7" s="15"/>
      <c r="D7" s="15">
        <v>54.2</v>
      </c>
      <c r="E7" s="15">
        <v>54.6</v>
      </c>
      <c r="F7" s="15">
        <v>56.2</v>
      </c>
      <c r="G7" s="15">
        <v>55.0</v>
      </c>
      <c r="H7" s="13"/>
      <c r="I7" s="73"/>
      <c r="J7" s="116">
        <v>55.3</v>
      </c>
      <c r="K7" s="116">
        <v>54.8</v>
      </c>
      <c r="L7" s="116">
        <v>55.7</v>
      </c>
      <c r="M7" s="117">
        <v>56.5</v>
      </c>
      <c r="N7" s="118"/>
      <c r="O7" s="119">
        <v>57.7</v>
      </c>
      <c r="P7" s="119">
        <v>57.0</v>
      </c>
      <c r="Q7" s="119">
        <v>56.1</v>
      </c>
      <c r="R7" s="119">
        <v>56.9</v>
      </c>
      <c r="S7" s="119" t="s">
        <v>269</v>
      </c>
      <c r="T7" s="119">
        <v>56.8</v>
      </c>
      <c r="U7" s="119">
        <v>57.5</v>
      </c>
      <c r="V7" s="119">
        <v>56.5</v>
      </c>
      <c r="W7" s="120">
        <v>57.0</v>
      </c>
      <c r="X7" s="120">
        <v>56.2</v>
      </c>
      <c r="Y7" s="19">
        <v>55.0</v>
      </c>
      <c r="Z7" s="20" t="s">
        <v>17</v>
      </c>
      <c r="AA7" s="21">
        <f t="shared" si="1"/>
        <v>-1.2</v>
      </c>
      <c r="AB7" s="21">
        <f t="shared" si="2"/>
        <v>1.1</v>
      </c>
    </row>
    <row r="8" ht="15.75" customHeight="1">
      <c r="A8" s="13" t="s">
        <v>270</v>
      </c>
      <c r="B8" s="15">
        <v>53.7</v>
      </c>
      <c r="C8" s="15">
        <v>54.5</v>
      </c>
      <c r="D8" s="15">
        <v>55.4</v>
      </c>
      <c r="E8" s="15">
        <v>54.7</v>
      </c>
      <c r="F8" s="16">
        <v>54.6</v>
      </c>
      <c r="G8" s="73">
        <v>54.9</v>
      </c>
      <c r="H8" s="13">
        <v>55.0</v>
      </c>
      <c r="I8" s="73">
        <v>55.0</v>
      </c>
      <c r="J8" s="116">
        <v>55.4</v>
      </c>
      <c r="K8" s="116">
        <v>55.0</v>
      </c>
      <c r="L8" s="116"/>
      <c r="M8" s="117">
        <v>53.3</v>
      </c>
      <c r="N8" s="118">
        <v>54.0</v>
      </c>
      <c r="O8" s="119">
        <v>55.9</v>
      </c>
      <c r="P8" s="119">
        <v>55.3</v>
      </c>
      <c r="Q8" s="119">
        <v>56.6</v>
      </c>
      <c r="R8" s="119">
        <v>58.0</v>
      </c>
      <c r="S8" s="119">
        <v>58.1</v>
      </c>
      <c r="T8" s="119">
        <v>59.0</v>
      </c>
      <c r="U8" s="119">
        <v>58.7</v>
      </c>
      <c r="V8" s="119">
        <v>58.3</v>
      </c>
      <c r="W8" s="120">
        <v>59.4</v>
      </c>
      <c r="X8" s="120">
        <v>58.4</v>
      </c>
      <c r="Y8" s="24">
        <v>58.1</v>
      </c>
      <c r="Z8" s="20" t="s">
        <v>14</v>
      </c>
      <c r="AA8" s="21">
        <f t="shared" si="1"/>
        <v>-0.3</v>
      </c>
      <c r="AB8" s="21">
        <f t="shared" si="2"/>
        <v>5.7</v>
      </c>
      <c r="AC8" s="29"/>
    </row>
    <row r="9" ht="15.75" customHeight="1">
      <c r="A9" s="13" t="s">
        <v>271</v>
      </c>
      <c r="B9" s="15">
        <v>58.5</v>
      </c>
      <c r="C9" s="15">
        <v>57.7</v>
      </c>
      <c r="D9" s="24">
        <v>59.2</v>
      </c>
      <c r="E9" s="15">
        <v>60.4</v>
      </c>
      <c r="F9" s="16">
        <v>61.2</v>
      </c>
      <c r="G9" s="73">
        <v>61.4</v>
      </c>
      <c r="H9" s="13">
        <v>62.1</v>
      </c>
      <c r="I9" s="73">
        <v>61.8</v>
      </c>
      <c r="J9" s="116">
        <v>62.0</v>
      </c>
      <c r="K9" s="116">
        <v>62.9</v>
      </c>
      <c r="L9" s="116">
        <v>60.4</v>
      </c>
      <c r="M9" s="117">
        <v>60.9</v>
      </c>
      <c r="N9" s="118">
        <v>62.1</v>
      </c>
      <c r="O9" s="119">
        <v>61.3</v>
      </c>
      <c r="P9" s="119">
        <v>62.6</v>
      </c>
      <c r="Q9" s="119">
        <v>63.1</v>
      </c>
      <c r="R9" s="119">
        <v>63.9</v>
      </c>
      <c r="S9" s="119">
        <v>63.9</v>
      </c>
      <c r="T9" s="119">
        <v>63.2</v>
      </c>
      <c r="U9" s="119">
        <v>63.7</v>
      </c>
      <c r="V9" s="119">
        <v>63.5</v>
      </c>
      <c r="W9" s="120">
        <v>63.9</v>
      </c>
      <c r="X9" s="120">
        <v>64.0</v>
      </c>
      <c r="Y9" s="18">
        <v>64.2</v>
      </c>
      <c r="Z9" s="20" t="s">
        <v>14</v>
      </c>
      <c r="AA9" s="21">
        <f t="shared" si="1"/>
        <v>0.2</v>
      </c>
      <c r="AB9" s="21">
        <f t="shared" si="2"/>
        <v>5.4</v>
      </c>
    </row>
    <row r="10" ht="15.75" customHeight="1">
      <c r="A10" s="13" t="s">
        <v>272</v>
      </c>
      <c r="B10" s="15">
        <v>51.4</v>
      </c>
      <c r="C10" s="15">
        <v>50.3</v>
      </c>
      <c r="D10" s="15">
        <v>51.4</v>
      </c>
      <c r="E10" s="15">
        <v>51.6</v>
      </c>
      <c r="F10" s="16">
        <v>51.8</v>
      </c>
      <c r="G10" s="73">
        <v>51.9</v>
      </c>
      <c r="H10" s="13">
        <v>52.0</v>
      </c>
      <c r="I10" s="73">
        <v>53.0</v>
      </c>
      <c r="J10" s="116">
        <v>52.9</v>
      </c>
      <c r="K10" s="116">
        <v>52.9</v>
      </c>
      <c r="L10" s="116">
        <v>53.0</v>
      </c>
      <c r="M10" s="117">
        <v>53.4</v>
      </c>
      <c r="N10" s="118">
        <v>53.3</v>
      </c>
      <c r="O10" s="119">
        <v>53.4</v>
      </c>
      <c r="P10" s="119">
        <v>53.7</v>
      </c>
      <c r="Q10" s="119">
        <v>53.1</v>
      </c>
      <c r="R10" s="119">
        <v>55.0</v>
      </c>
      <c r="S10" s="119" t="s">
        <v>273</v>
      </c>
      <c r="T10" s="119">
        <v>54.6</v>
      </c>
      <c r="U10" s="119">
        <v>54.3</v>
      </c>
      <c r="V10" s="119">
        <v>55.3</v>
      </c>
      <c r="W10" s="120">
        <v>54.9</v>
      </c>
      <c r="X10" s="120">
        <v>55.1</v>
      </c>
      <c r="Y10" s="18">
        <v>55.3</v>
      </c>
      <c r="Z10" s="20" t="s">
        <v>14</v>
      </c>
      <c r="AA10" s="21">
        <f t="shared" si="1"/>
        <v>0.2</v>
      </c>
      <c r="AB10" s="21">
        <f t="shared" si="2"/>
        <v>3.5</v>
      </c>
    </row>
    <row r="11" ht="15.75" customHeight="1">
      <c r="A11" s="13" t="s">
        <v>274</v>
      </c>
      <c r="B11" s="15">
        <v>55.0</v>
      </c>
      <c r="C11" s="15"/>
      <c r="D11" s="15"/>
      <c r="E11" s="15">
        <v>56.0</v>
      </c>
      <c r="F11" s="16">
        <v>56.1</v>
      </c>
      <c r="G11" s="73"/>
      <c r="H11" s="13">
        <v>55.9</v>
      </c>
      <c r="I11" s="73">
        <v>56.6</v>
      </c>
      <c r="J11" s="116"/>
      <c r="K11" s="116">
        <v>56.0</v>
      </c>
      <c r="L11" s="116">
        <v>55.2</v>
      </c>
      <c r="M11" s="117">
        <v>54.8</v>
      </c>
      <c r="N11" s="118">
        <v>56.0</v>
      </c>
      <c r="O11" s="119">
        <v>56.9</v>
      </c>
      <c r="P11" s="119">
        <v>57.1</v>
      </c>
      <c r="Q11" s="119">
        <v>57.8</v>
      </c>
      <c r="R11" s="119">
        <v>58.3</v>
      </c>
      <c r="S11" s="119" t="s">
        <v>181</v>
      </c>
      <c r="T11" s="119">
        <v>57.6</v>
      </c>
      <c r="U11" s="119">
        <v>57.7</v>
      </c>
      <c r="V11" s="119">
        <v>58.0</v>
      </c>
      <c r="W11" s="120"/>
      <c r="X11" s="120">
        <v>58.2</v>
      </c>
      <c r="Y11" s="18">
        <v>59.0</v>
      </c>
      <c r="Z11" s="20" t="s">
        <v>14</v>
      </c>
      <c r="AA11" s="21">
        <f t="shared" si="1"/>
        <v>0.8</v>
      </c>
      <c r="AB11" s="21">
        <f t="shared" si="2"/>
        <v>-55</v>
      </c>
    </row>
    <row r="12" ht="15.75" customHeight="1">
      <c r="A12" s="13" t="s">
        <v>275</v>
      </c>
      <c r="B12" s="15">
        <v>58.5</v>
      </c>
      <c r="C12" s="15">
        <v>56.8</v>
      </c>
      <c r="D12" s="15">
        <v>58.5</v>
      </c>
      <c r="E12" s="15">
        <v>58.8</v>
      </c>
      <c r="F12" s="16">
        <v>59.2</v>
      </c>
      <c r="G12" s="73">
        <v>59.9</v>
      </c>
      <c r="H12" s="13">
        <v>59.5</v>
      </c>
      <c r="I12" s="73">
        <v>60.1</v>
      </c>
      <c r="J12" s="116">
        <v>60.6</v>
      </c>
      <c r="K12" s="116">
        <v>61.0</v>
      </c>
      <c r="L12" s="116">
        <v>60.7</v>
      </c>
      <c r="M12" s="117">
        <v>60.8</v>
      </c>
      <c r="N12" s="118">
        <v>61.4</v>
      </c>
      <c r="O12" s="119">
        <v>61.5</v>
      </c>
      <c r="P12" s="119">
        <v>61.8</v>
      </c>
      <c r="Q12" s="119">
        <v>62.9</v>
      </c>
      <c r="R12" s="119">
        <v>63.3</v>
      </c>
      <c r="S12" s="119">
        <v>63.3</v>
      </c>
      <c r="T12" s="119">
        <v>63.5</v>
      </c>
      <c r="U12" s="119">
        <v>63.6</v>
      </c>
      <c r="V12" s="119">
        <v>64.8</v>
      </c>
      <c r="W12" s="120">
        <v>64.1</v>
      </c>
      <c r="X12" s="120">
        <v>63.4</v>
      </c>
      <c r="Y12" s="18">
        <v>63.5</v>
      </c>
      <c r="Z12" s="20" t="s">
        <v>7</v>
      </c>
      <c r="AA12" s="21">
        <f t="shared" si="1"/>
        <v>0.1</v>
      </c>
      <c r="AB12" s="21">
        <f t="shared" si="2"/>
        <v>5.6</v>
      </c>
    </row>
    <row r="13" ht="15.75" customHeight="1">
      <c r="A13" s="13" t="s">
        <v>276</v>
      </c>
      <c r="B13" s="15">
        <v>62.0</v>
      </c>
      <c r="C13" s="15">
        <v>62.3</v>
      </c>
      <c r="D13" s="15">
        <v>62.4</v>
      </c>
      <c r="E13" s="15">
        <v>63.7</v>
      </c>
      <c r="F13" s="16">
        <v>62.8</v>
      </c>
      <c r="G13" s="73">
        <v>64.3</v>
      </c>
      <c r="H13" s="13">
        <v>63.8</v>
      </c>
      <c r="I13" s="73">
        <v>64.3</v>
      </c>
      <c r="J13" s="121">
        <v>64.3</v>
      </c>
      <c r="K13" s="116">
        <v>64.1</v>
      </c>
      <c r="L13" s="116"/>
      <c r="M13" s="117">
        <v>63.9</v>
      </c>
      <c r="N13" s="118">
        <v>66.6</v>
      </c>
      <c r="O13" s="119">
        <v>64.2</v>
      </c>
      <c r="P13" s="119">
        <v>65.3</v>
      </c>
      <c r="Q13" s="119">
        <v>67.1</v>
      </c>
      <c r="R13" s="119">
        <v>67.1</v>
      </c>
      <c r="S13" s="119" t="s">
        <v>277</v>
      </c>
      <c r="T13" s="119">
        <v>65.7</v>
      </c>
      <c r="U13" s="119">
        <v>66.9</v>
      </c>
      <c r="V13" s="119">
        <v>66.6</v>
      </c>
      <c r="W13" s="120">
        <v>67.8</v>
      </c>
      <c r="X13" s="120">
        <v>67.4</v>
      </c>
      <c r="Y13" s="18">
        <v>67.4</v>
      </c>
      <c r="Z13" s="20" t="s">
        <v>14</v>
      </c>
      <c r="AA13" s="21">
        <f t="shared" si="1"/>
        <v>0</v>
      </c>
      <c r="AB13" s="21">
        <f t="shared" si="2"/>
        <v>5.8</v>
      </c>
    </row>
    <row r="14" ht="15.75" customHeight="1">
      <c r="A14" s="28" t="s">
        <v>278</v>
      </c>
      <c r="B14" s="15">
        <v>69.9</v>
      </c>
      <c r="C14" s="15">
        <v>69.0</v>
      </c>
      <c r="D14" s="15">
        <v>70.4</v>
      </c>
      <c r="E14" s="15">
        <v>70.6</v>
      </c>
      <c r="F14" s="16">
        <v>69.4</v>
      </c>
      <c r="G14" s="73">
        <v>69.5</v>
      </c>
      <c r="H14" s="13">
        <v>69.2</v>
      </c>
      <c r="I14" s="73">
        <v>68.6</v>
      </c>
      <c r="J14" s="121">
        <v>69.0</v>
      </c>
      <c r="K14" s="116">
        <v>69.2</v>
      </c>
      <c r="L14" s="116">
        <v>69.2</v>
      </c>
      <c r="M14" s="117">
        <v>67.5</v>
      </c>
      <c r="N14" s="118">
        <v>69.8</v>
      </c>
      <c r="O14" s="119">
        <v>69.3</v>
      </c>
      <c r="P14" s="119">
        <v>69.6</v>
      </c>
      <c r="Q14" s="119">
        <v>71.7</v>
      </c>
      <c r="R14" s="119">
        <v>71.6</v>
      </c>
      <c r="S14" s="119">
        <v>71.3</v>
      </c>
      <c r="T14" s="119">
        <v>71.3</v>
      </c>
      <c r="U14" s="119">
        <v>71.3</v>
      </c>
      <c r="V14" s="119">
        <v>72.6</v>
      </c>
      <c r="W14" s="120">
        <v>73.4</v>
      </c>
      <c r="X14" s="120">
        <v>72.5</v>
      </c>
      <c r="Y14" s="18">
        <v>73.3</v>
      </c>
      <c r="Z14" s="20" t="s">
        <v>7</v>
      </c>
      <c r="AA14" s="21">
        <f t="shared" si="1"/>
        <v>0.8</v>
      </c>
      <c r="AB14" s="21">
        <f t="shared" si="2"/>
        <v>3.5</v>
      </c>
    </row>
    <row r="15" ht="15.75" customHeight="1">
      <c r="A15" s="46" t="s">
        <v>279</v>
      </c>
      <c r="B15" s="15">
        <v>61.2</v>
      </c>
      <c r="C15" s="15">
        <v>60.8</v>
      </c>
      <c r="D15" s="15">
        <v>62.4</v>
      </c>
      <c r="E15" s="15">
        <v>62.7</v>
      </c>
      <c r="F15" s="16">
        <v>62.8</v>
      </c>
      <c r="G15" s="73">
        <v>64.5</v>
      </c>
      <c r="H15" s="13">
        <v>64.3</v>
      </c>
      <c r="I15" s="73">
        <v>64.6</v>
      </c>
      <c r="J15" s="116">
        <v>65.3</v>
      </c>
      <c r="K15" s="116">
        <v>64.5</v>
      </c>
      <c r="L15" s="116">
        <v>64.1</v>
      </c>
      <c r="M15" s="117">
        <v>65.1</v>
      </c>
      <c r="N15" s="118">
        <v>65.3</v>
      </c>
      <c r="O15" s="119">
        <v>64.5</v>
      </c>
      <c r="P15" s="119">
        <v>64.7</v>
      </c>
      <c r="Q15" s="119">
        <v>64.9</v>
      </c>
      <c r="R15" s="119">
        <v>65.6</v>
      </c>
      <c r="S15" s="119" t="s">
        <v>280</v>
      </c>
      <c r="T15" s="119">
        <v>65.4</v>
      </c>
      <c r="U15" s="119">
        <v>65.2</v>
      </c>
      <c r="V15" s="119">
        <v>65.9</v>
      </c>
      <c r="W15" s="120">
        <v>65.1</v>
      </c>
      <c r="X15" s="120">
        <v>65.5</v>
      </c>
      <c r="Y15" s="18">
        <v>65.5</v>
      </c>
      <c r="Z15" s="20" t="s">
        <v>14</v>
      </c>
      <c r="AA15" s="21">
        <f t="shared" si="1"/>
        <v>0</v>
      </c>
      <c r="AB15" s="21">
        <f t="shared" si="2"/>
        <v>3.9</v>
      </c>
    </row>
    <row r="16" ht="15.75" customHeight="1">
      <c r="A16" s="13" t="s">
        <v>281</v>
      </c>
      <c r="B16" s="15">
        <v>68.6</v>
      </c>
      <c r="C16" s="15">
        <v>66.8</v>
      </c>
      <c r="D16" s="15">
        <v>67.6</v>
      </c>
      <c r="E16" s="15">
        <v>68.1</v>
      </c>
      <c r="F16" s="16">
        <v>68.1</v>
      </c>
      <c r="G16" s="73">
        <v>69.4</v>
      </c>
      <c r="H16" s="13">
        <v>68.8</v>
      </c>
      <c r="I16" s="73">
        <v>69.0</v>
      </c>
      <c r="J16" s="116">
        <v>68.7</v>
      </c>
      <c r="K16" s="116">
        <v>69.5</v>
      </c>
      <c r="L16" s="116">
        <v>68.3</v>
      </c>
      <c r="M16" s="117">
        <v>69.3</v>
      </c>
      <c r="N16" s="118">
        <v>69.0</v>
      </c>
      <c r="O16" s="119">
        <v>69.1</v>
      </c>
      <c r="P16" s="119">
        <v>69.3</v>
      </c>
      <c r="Q16" s="119">
        <v>68.4</v>
      </c>
      <c r="R16" s="119">
        <v>69.0</v>
      </c>
      <c r="S16" s="119" t="s">
        <v>78</v>
      </c>
      <c r="T16" s="119">
        <v>70.4</v>
      </c>
      <c r="U16" s="119">
        <v>70.3</v>
      </c>
      <c r="V16" s="119">
        <v>69.6</v>
      </c>
      <c r="W16" s="120">
        <v>71.1</v>
      </c>
      <c r="X16" s="120">
        <v>69.9</v>
      </c>
      <c r="Y16" s="24">
        <v>70.0</v>
      </c>
      <c r="Z16" s="20" t="s">
        <v>14</v>
      </c>
      <c r="AA16" s="21">
        <f t="shared" si="1"/>
        <v>0.1</v>
      </c>
      <c r="AB16" s="21">
        <f t="shared" si="2"/>
        <v>2.5</v>
      </c>
    </row>
    <row r="17" ht="15.75" customHeight="1">
      <c r="A17" s="13" t="s">
        <v>282</v>
      </c>
      <c r="B17" s="15"/>
      <c r="C17" s="15"/>
      <c r="D17" s="73">
        <v>55.1</v>
      </c>
      <c r="E17" s="73">
        <v>55.0</v>
      </c>
      <c r="F17" s="16">
        <v>56.4</v>
      </c>
      <c r="G17" s="73">
        <v>56.4</v>
      </c>
      <c r="H17" s="13">
        <v>56.5</v>
      </c>
      <c r="I17" s="73">
        <v>59.7</v>
      </c>
      <c r="J17" s="116">
        <v>56.6</v>
      </c>
      <c r="K17" s="116">
        <v>56.9</v>
      </c>
      <c r="L17" s="116">
        <v>57.5</v>
      </c>
      <c r="M17" s="117">
        <v>57.7</v>
      </c>
      <c r="N17" s="118">
        <v>57.9</v>
      </c>
      <c r="O17" s="119">
        <v>58.6</v>
      </c>
      <c r="P17" s="119">
        <v>59.5</v>
      </c>
      <c r="Q17" s="119">
        <v>59.6</v>
      </c>
      <c r="R17" s="119">
        <v>59.6</v>
      </c>
      <c r="S17" s="119" t="s">
        <v>283</v>
      </c>
      <c r="T17" s="119">
        <v>59.8</v>
      </c>
      <c r="U17" s="119">
        <v>59.7</v>
      </c>
      <c r="V17" s="119">
        <v>60.3</v>
      </c>
      <c r="W17" s="120">
        <v>60.4</v>
      </c>
      <c r="X17" s="120">
        <v>59.6</v>
      </c>
      <c r="Y17" s="19">
        <v>59.2</v>
      </c>
      <c r="Z17" s="20" t="s">
        <v>14</v>
      </c>
      <c r="AA17" s="21">
        <f t="shared" si="1"/>
        <v>-0.4</v>
      </c>
      <c r="AB17" s="21">
        <f>W17-D17</f>
        <v>5.3</v>
      </c>
    </row>
    <row r="18" ht="15.75" customHeight="1">
      <c r="A18" s="13" t="s">
        <v>284</v>
      </c>
      <c r="B18" s="15">
        <v>52.5</v>
      </c>
      <c r="C18" s="15">
        <v>52.4</v>
      </c>
      <c r="D18" s="15">
        <v>52.3</v>
      </c>
      <c r="E18" s="15">
        <v>52.6</v>
      </c>
      <c r="F18" s="16">
        <v>52.0</v>
      </c>
      <c r="G18" s="73">
        <v>52.7</v>
      </c>
      <c r="H18" s="13">
        <v>52.1</v>
      </c>
      <c r="I18" s="73">
        <v>52.5</v>
      </c>
      <c r="J18" s="116">
        <v>52.7</v>
      </c>
      <c r="K18" s="116"/>
      <c r="L18" s="116">
        <v>49.9</v>
      </c>
      <c r="M18" s="117">
        <v>51.5</v>
      </c>
      <c r="N18" s="118"/>
      <c r="O18" s="119">
        <v>52.2</v>
      </c>
      <c r="P18" s="122"/>
      <c r="Q18" s="122"/>
      <c r="R18" s="122"/>
      <c r="S18" s="122"/>
      <c r="T18" s="122"/>
      <c r="U18" s="122"/>
      <c r="V18" s="122"/>
      <c r="W18" s="123"/>
      <c r="X18" s="123"/>
      <c r="Y18" s="24"/>
      <c r="Z18" s="91"/>
      <c r="AA18" s="21">
        <f t="shared" si="1"/>
        <v>0</v>
      </c>
      <c r="AB18" s="21">
        <f t="shared" ref="AB18:AB24" si="3">W18-B18</f>
        <v>-52.5</v>
      </c>
    </row>
    <row r="19" ht="15.75" customHeight="1">
      <c r="A19" s="13" t="s">
        <v>285</v>
      </c>
      <c r="B19" s="15">
        <v>59.3</v>
      </c>
      <c r="C19" s="15">
        <v>58.9</v>
      </c>
      <c r="D19" s="15">
        <v>59.7</v>
      </c>
      <c r="E19" s="15">
        <v>60.1</v>
      </c>
      <c r="F19" s="16">
        <v>60.0</v>
      </c>
      <c r="G19" s="73">
        <v>61.1</v>
      </c>
      <c r="H19" s="13">
        <v>60.1</v>
      </c>
      <c r="I19" s="73">
        <v>59.6</v>
      </c>
      <c r="J19" s="116">
        <v>59.6</v>
      </c>
      <c r="K19" s="116">
        <v>59.6</v>
      </c>
      <c r="L19" s="116">
        <v>59.6</v>
      </c>
      <c r="M19" s="117">
        <v>59.7</v>
      </c>
      <c r="N19" s="118">
        <v>59.7</v>
      </c>
      <c r="O19" s="119">
        <v>61.1</v>
      </c>
      <c r="P19" s="119"/>
      <c r="Q19" s="119">
        <v>62.0</v>
      </c>
      <c r="R19" s="119">
        <v>61.9</v>
      </c>
      <c r="S19" s="119">
        <v>62.8</v>
      </c>
      <c r="T19" s="119">
        <v>63.1</v>
      </c>
      <c r="U19" s="119">
        <v>62.4</v>
      </c>
      <c r="V19" s="119">
        <v>62.4</v>
      </c>
      <c r="W19" s="120">
        <v>61.9</v>
      </c>
      <c r="X19" s="120">
        <v>61.2</v>
      </c>
      <c r="Y19" s="19">
        <v>62.3</v>
      </c>
      <c r="Z19" s="20" t="s">
        <v>14</v>
      </c>
      <c r="AA19" s="21">
        <f t="shared" si="1"/>
        <v>1.1</v>
      </c>
      <c r="AB19" s="21">
        <f t="shared" si="3"/>
        <v>2.6</v>
      </c>
    </row>
    <row r="20" ht="15.75" customHeight="1">
      <c r="A20" s="13" t="s">
        <v>286</v>
      </c>
      <c r="B20" s="15">
        <v>46.6</v>
      </c>
      <c r="C20" s="15">
        <v>46.7</v>
      </c>
      <c r="D20" s="15">
        <v>48.0</v>
      </c>
      <c r="E20" s="15">
        <v>49.0</v>
      </c>
      <c r="F20" s="16">
        <v>50.0</v>
      </c>
      <c r="G20" s="73">
        <v>50.2</v>
      </c>
      <c r="H20" s="13">
        <v>51.1</v>
      </c>
      <c r="I20" s="73">
        <v>51.4</v>
      </c>
      <c r="J20" s="116">
        <v>50.5</v>
      </c>
      <c r="K20" s="116">
        <v>51.0</v>
      </c>
      <c r="L20" s="116">
        <v>51.2</v>
      </c>
      <c r="M20" s="117">
        <v>51.5</v>
      </c>
      <c r="N20" s="118">
        <v>52.3</v>
      </c>
      <c r="O20" s="119">
        <v>52.6</v>
      </c>
      <c r="P20" s="119">
        <v>52.5</v>
      </c>
      <c r="Q20" s="119">
        <v>54.3</v>
      </c>
      <c r="R20" s="119"/>
      <c r="S20" s="119" t="s">
        <v>273</v>
      </c>
      <c r="T20" s="119">
        <v>54.2</v>
      </c>
      <c r="U20" s="119">
        <v>54.8</v>
      </c>
      <c r="V20" s="119">
        <v>54.7</v>
      </c>
      <c r="W20" s="120">
        <v>54.6</v>
      </c>
      <c r="X20" s="120">
        <v>54.6</v>
      </c>
      <c r="Y20" s="24">
        <v>55.3</v>
      </c>
      <c r="Z20" s="20" t="s">
        <v>14</v>
      </c>
      <c r="AA20" s="21">
        <f t="shared" si="1"/>
        <v>0.7</v>
      </c>
      <c r="AB20" s="21">
        <f t="shared" si="3"/>
        <v>8</v>
      </c>
    </row>
    <row r="21" ht="15.75" customHeight="1">
      <c r="A21" s="13" t="s">
        <v>287</v>
      </c>
      <c r="B21" s="15">
        <v>61.3</v>
      </c>
      <c r="C21" s="15">
        <v>60.7</v>
      </c>
      <c r="D21" s="15">
        <v>61.0</v>
      </c>
      <c r="E21" s="15">
        <v>62.0</v>
      </c>
      <c r="F21" s="16">
        <v>61.3</v>
      </c>
      <c r="G21" s="73">
        <v>62.4</v>
      </c>
      <c r="H21" s="13">
        <v>62.2</v>
      </c>
      <c r="I21" s="73">
        <v>63.3</v>
      </c>
      <c r="J21" s="116">
        <v>63.1</v>
      </c>
      <c r="K21" s="116">
        <v>63.5</v>
      </c>
      <c r="L21" s="116"/>
      <c r="M21" s="117">
        <v>63.9</v>
      </c>
      <c r="N21" s="118">
        <v>65.0</v>
      </c>
      <c r="O21" s="119">
        <v>64.8</v>
      </c>
      <c r="P21" s="119">
        <v>64.8</v>
      </c>
      <c r="Q21" s="119">
        <v>65.3</v>
      </c>
      <c r="R21" s="119">
        <v>65.3</v>
      </c>
      <c r="S21" s="119" t="s">
        <v>288</v>
      </c>
      <c r="T21" s="119">
        <v>65.9</v>
      </c>
      <c r="U21" s="119">
        <v>66.4</v>
      </c>
      <c r="V21" s="119">
        <v>66.2</v>
      </c>
      <c r="W21" s="120">
        <v>67.6</v>
      </c>
      <c r="X21" s="120">
        <v>66.2</v>
      </c>
      <c r="Y21" s="18"/>
      <c r="Z21" s="20" t="s">
        <v>14</v>
      </c>
      <c r="AA21" s="21">
        <f t="shared" si="1"/>
        <v>-66.2</v>
      </c>
      <c r="AB21" s="21">
        <f t="shared" si="3"/>
        <v>6.3</v>
      </c>
    </row>
    <row r="22" ht="15.75" customHeight="1">
      <c r="A22" s="13" t="s">
        <v>289</v>
      </c>
      <c r="B22" s="15">
        <v>50.8</v>
      </c>
      <c r="C22" s="15">
        <v>50.3</v>
      </c>
      <c r="D22" s="15">
        <v>52.1</v>
      </c>
      <c r="E22" s="15">
        <v>52.0</v>
      </c>
      <c r="F22" s="16">
        <v>53.3</v>
      </c>
      <c r="G22" s="73">
        <v>52.7</v>
      </c>
      <c r="H22" s="13">
        <v>53.1</v>
      </c>
      <c r="I22" s="73">
        <v>53.9</v>
      </c>
      <c r="J22" s="116">
        <v>53.4</v>
      </c>
      <c r="K22" s="116">
        <v>52.9</v>
      </c>
      <c r="L22" s="116">
        <v>52.0</v>
      </c>
      <c r="M22" s="117">
        <v>53.1</v>
      </c>
      <c r="N22" s="118">
        <v>53.9</v>
      </c>
      <c r="O22" s="119">
        <v>54.4</v>
      </c>
      <c r="P22" s="119">
        <v>54.4</v>
      </c>
      <c r="Q22" s="119">
        <v>53.8</v>
      </c>
      <c r="R22" s="119">
        <v>54.9</v>
      </c>
      <c r="S22" s="119" t="s">
        <v>290</v>
      </c>
      <c r="T22" s="119">
        <v>55.5</v>
      </c>
      <c r="U22" s="119">
        <v>54.9</v>
      </c>
      <c r="V22" s="119">
        <v>56.0</v>
      </c>
      <c r="W22" s="120">
        <v>55.5</v>
      </c>
      <c r="X22" s="120">
        <v>55.8</v>
      </c>
      <c r="Y22" s="18">
        <v>57.5</v>
      </c>
      <c r="Z22" s="20" t="s">
        <v>17</v>
      </c>
      <c r="AA22" s="21">
        <f t="shared" si="1"/>
        <v>1.7</v>
      </c>
      <c r="AB22" s="21">
        <f t="shared" si="3"/>
        <v>4.7</v>
      </c>
    </row>
    <row r="23" ht="15.75" customHeight="1">
      <c r="A23" s="13" t="s">
        <v>291</v>
      </c>
      <c r="B23" s="15">
        <v>49.7</v>
      </c>
      <c r="C23" s="15">
        <v>49.0</v>
      </c>
      <c r="D23" s="15">
        <v>50.1</v>
      </c>
      <c r="E23" s="15">
        <v>50.5</v>
      </c>
      <c r="F23" s="16">
        <v>49.3</v>
      </c>
      <c r="G23" s="73">
        <v>50.0</v>
      </c>
      <c r="H23" s="28">
        <v>49.1</v>
      </c>
      <c r="I23" s="73">
        <v>49.6</v>
      </c>
      <c r="J23" s="116">
        <v>50.0</v>
      </c>
      <c r="K23" s="116">
        <v>49.3</v>
      </c>
      <c r="L23" s="116"/>
      <c r="M23" s="117">
        <v>48.7</v>
      </c>
      <c r="N23" s="118">
        <v>49.0</v>
      </c>
      <c r="O23" s="119">
        <v>49.2</v>
      </c>
      <c r="P23" s="119">
        <v>50.1</v>
      </c>
      <c r="Q23" s="119">
        <v>51.1</v>
      </c>
      <c r="R23" s="119">
        <v>51.6</v>
      </c>
      <c r="S23" s="119">
        <v>51.7</v>
      </c>
      <c r="T23" s="119">
        <v>50.8</v>
      </c>
      <c r="U23" s="119">
        <v>51.7</v>
      </c>
      <c r="V23" s="119">
        <v>51.5</v>
      </c>
      <c r="W23" s="120">
        <v>50.4</v>
      </c>
      <c r="X23" s="120">
        <v>51.0</v>
      </c>
      <c r="Y23" s="24">
        <v>51.1</v>
      </c>
      <c r="Z23" s="20" t="s">
        <v>7</v>
      </c>
      <c r="AA23" s="21">
        <f t="shared" si="1"/>
        <v>0.1</v>
      </c>
      <c r="AB23" s="21">
        <f t="shared" si="3"/>
        <v>0.7</v>
      </c>
    </row>
    <row r="24" ht="15.75" customHeight="1">
      <c r="A24" s="13" t="s">
        <v>292</v>
      </c>
      <c r="B24" s="15">
        <v>71.6</v>
      </c>
      <c r="C24" s="15">
        <v>70.4</v>
      </c>
      <c r="D24" s="15">
        <v>72.0</v>
      </c>
      <c r="E24" s="15"/>
      <c r="F24" s="16"/>
      <c r="G24" s="73"/>
      <c r="H24" s="28">
        <v>71.5</v>
      </c>
      <c r="I24" s="73">
        <v>71.9</v>
      </c>
      <c r="J24" s="116"/>
      <c r="K24" s="116">
        <v>73.8</v>
      </c>
      <c r="L24" s="116">
        <v>73.0</v>
      </c>
      <c r="M24" s="117">
        <v>71.4</v>
      </c>
      <c r="N24" s="124">
        <v>71.9</v>
      </c>
      <c r="O24" s="125">
        <v>72.6</v>
      </c>
      <c r="P24" s="119">
        <v>72.3</v>
      </c>
      <c r="Q24" s="119">
        <v>73.2</v>
      </c>
      <c r="R24" s="119">
        <v>71.4</v>
      </c>
      <c r="S24" s="119">
        <v>71.6</v>
      </c>
      <c r="T24" s="119">
        <v>70.0</v>
      </c>
      <c r="U24" s="119">
        <v>71.0</v>
      </c>
      <c r="V24" s="119">
        <v>70.9</v>
      </c>
      <c r="W24" s="120">
        <v>71.3</v>
      </c>
      <c r="X24" s="120">
        <v>72.1</v>
      </c>
      <c r="Y24" s="18"/>
      <c r="Z24" s="20" t="s">
        <v>7</v>
      </c>
      <c r="AA24" s="21">
        <f t="shared" si="1"/>
        <v>-72.1</v>
      </c>
      <c r="AB24" s="21">
        <f t="shared" si="3"/>
        <v>-0.3</v>
      </c>
    </row>
    <row r="25" ht="15.75" customHeight="1">
      <c r="A25" s="13" t="s">
        <v>293</v>
      </c>
      <c r="B25" s="15">
        <v>46.6</v>
      </c>
      <c r="C25" s="15"/>
      <c r="D25" s="15">
        <v>46.4</v>
      </c>
      <c r="E25" s="16">
        <v>47.1</v>
      </c>
      <c r="F25" s="16">
        <v>48.4</v>
      </c>
      <c r="G25" s="73">
        <v>49.0</v>
      </c>
      <c r="H25" s="13">
        <v>48.4</v>
      </c>
      <c r="I25" s="73">
        <v>49.0</v>
      </c>
      <c r="J25" s="116">
        <v>49.0</v>
      </c>
      <c r="K25" s="116">
        <v>49.2</v>
      </c>
      <c r="L25" s="116">
        <v>49.6</v>
      </c>
      <c r="M25" s="117">
        <v>50.3</v>
      </c>
      <c r="N25" s="118">
        <v>50.7</v>
      </c>
      <c r="O25" s="119">
        <v>50.6</v>
      </c>
      <c r="P25" s="119">
        <v>50.9</v>
      </c>
      <c r="Q25" s="119">
        <v>49.8</v>
      </c>
      <c r="R25" s="119">
        <v>50.6</v>
      </c>
      <c r="S25" s="119">
        <v>50.3</v>
      </c>
      <c r="T25" s="119">
        <v>50.5</v>
      </c>
      <c r="U25" s="119">
        <v>51.1</v>
      </c>
      <c r="V25" s="119">
        <v>51.2</v>
      </c>
      <c r="W25" s="120">
        <v>51.8</v>
      </c>
      <c r="X25" s="120">
        <v>51.5</v>
      </c>
      <c r="Y25" s="19">
        <v>51.9</v>
      </c>
      <c r="Z25" s="20" t="s">
        <v>14</v>
      </c>
      <c r="AA25" s="21">
        <f t="shared" si="1"/>
        <v>0.4</v>
      </c>
      <c r="AB25" s="21">
        <f>W25-D25</f>
        <v>5.4</v>
      </c>
    </row>
    <row r="26" ht="15.75" customHeight="1">
      <c r="A26" s="13" t="s">
        <v>294</v>
      </c>
      <c r="B26" s="15">
        <v>47.9</v>
      </c>
      <c r="C26" s="15">
        <v>48.3</v>
      </c>
      <c r="D26" s="15">
        <v>48.4</v>
      </c>
      <c r="E26" s="15">
        <v>48.8</v>
      </c>
      <c r="F26" s="16">
        <v>49.3</v>
      </c>
      <c r="G26" s="73">
        <v>49.5</v>
      </c>
      <c r="H26" s="13">
        <v>48.6</v>
      </c>
      <c r="I26" s="73">
        <v>49.8</v>
      </c>
      <c r="J26" s="116">
        <v>49.5</v>
      </c>
      <c r="K26" s="116">
        <v>49.6</v>
      </c>
      <c r="L26" s="116">
        <v>49.7</v>
      </c>
      <c r="M26" s="117">
        <v>50.2</v>
      </c>
      <c r="N26" s="118">
        <v>50.8</v>
      </c>
      <c r="O26" s="119">
        <v>50.7</v>
      </c>
      <c r="P26" s="119">
        <v>50.5</v>
      </c>
      <c r="Q26" s="119">
        <v>51.3</v>
      </c>
      <c r="R26" s="119">
        <v>51.6</v>
      </c>
      <c r="S26" s="119">
        <v>51.5</v>
      </c>
      <c r="T26" s="119">
        <v>52.7</v>
      </c>
      <c r="U26" s="119">
        <v>52.3</v>
      </c>
      <c r="V26" s="119">
        <v>52.5</v>
      </c>
      <c r="W26" s="120">
        <v>52.9</v>
      </c>
      <c r="X26" s="120">
        <v>53.0</v>
      </c>
      <c r="Y26" s="24">
        <v>52.9</v>
      </c>
      <c r="Z26" s="20" t="s">
        <v>14</v>
      </c>
      <c r="AA26" s="21">
        <f t="shared" si="1"/>
        <v>-0.1</v>
      </c>
      <c r="AB26" s="21">
        <f t="shared" ref="AB26:AB38" si="4">W26-B26</f>
        <v>5</v>
      </c>
    </row>
    <row r="27" ht="15.75" customHeight="1">
      <c r="A27" s="13" t="s">
        <v>295</v>
      </c>
      <c r="B27" s="15">
        <v>48.1</v>
      </c>
      <c r="C27" s="15">
        <v>48.3</v>
      </c>
      <c r="D27" s="15">
        <v>48.8</v>
      </c>
      <c r="E27" s="15"/>
      <c r="F27" s="16">
        <v>49.5</v>
      </c>
      <c r="G27" s="73">
        <v>49.8</v>
      </c>
      <c r="H27" s="13">
        <v>50.5</v>
      </c>
      <c r="I27" s="73">
        <v>50.2</v>
      </c>
      <c r="J27" s="126">
        <v>50.2</v>
      </c>
      <c r="K27" s="116">
        <v>50.8</v>
      </c>
      <c r="L27" s="116">
        <v>51.1</v>
      </c>
      <c r="M27" s="117">
        <v>51.5</v>
      </c>
      <c r="N27" s="118">
        <v>51.8</v>
      </c>
      <c r="O27" s="119">
        <v>51.9</v>
      </c>
      <c r="P27" s="119">
        <v>52.4</v>
      </c>
      <c r="Q27" s="119">
        <v>53.1</v>
      </c>
      <c r="R27" s="119">
        <v>53.3</v>
      </c>
      <c r="S27" s="119">
        <v>53.9</v>
      </c>
      <c r="T27" s="119">
        <v>53.3</v>
      </c>
      <c r="U27" s="119">
        <v>54.3</v>
      </c>
      <c r="V27" s="119">
        <v>53.6</v>
      </c>
      <c r="W27" s="120">
        <v>53.7</v>
      </c>
      <c r="X27" s="120">
        <v>53.6</v>
      </c>
      <c r="Y27" s="18">
        <v>53.4</v>
      </c>
      <c r="Z27" s="20" t="s">
        <v>14</v>
      </c>
      <c r="AA27" s="21">
        <f t="shared" si="1"/>
        <v>-0.2</v>
      </c>
      <c r="AB27" s="21">
        <f t="shared" si="4"/>
        <v>5.6</v>
      </c>
    </row>
    <row r="28" ht="15.75" customHeight="1">
      <c r="A28" s="13" t="s">
        <v>296</v>
      </c>
      <c r="B28" s="15">
        <v>56.3</v>
      </c>
      <c r="C28" s="15">
        <v>55.0</v>
      </c>
      <c r="D28" s="15">
        <v>55.7</v>
      </c>
      <c r="E28" s="15">
        <v>55.5</v>
      </c>
      <c r="F28" s="16">
        <v>56.3</v>
      </c>
      <c r="G28" s="73">
        <v>56.5</v>
      </c>
      <c r="H28" s="13">
        <v>56.3</v>
      </c>
      <c r="I28" s="73">
        <v>57.3</v>
      </c>
      <c r="J28" s="116">
        <v>57.4</v>
      </c>
      <c r="K28" s="116"/>
      <c r="L28" s="116">
        <v>57.0</v>
      </c>
      <c r="M28" s="117">
        <v>57.4</v>
      </c>
      <c r="N28" s="118">
        <v>58.0</v>
      </c>
      <c r="O28" s="119">
        <v>57.6</v>
      </c>
      <c r="P28" s="119">
        <v>57.5</v>
      </c>
      <c r="Q28" s="119">
        <v>57.9</v>
      </c>
      <c r="R28" s="119">
        <v>58.1</v>
      </c>
      <c r="S28" s="119" t="s">
        <v>297</v>
      </c>
      <c r="T28" s="119">
        <v>58.3</v>
      </c>
      <c r="U28" s="119">
        <v>58.1</v>
      </c>
      <c r="V28" s="119">
        <v>58.4</v>
      </c>
      <c r="W28" s="120">
        <v>59.5</v>
      </c>
      <c r="X28" s="120">
        <v>59.4</v>
      </c>
      <c r="Y28" s="18">
        <v>59.0</v>
      </c>
      <c r="Z28" s="20" t="s">
        <v>14</v>
      </c>
      <c r="AA28" s="21">
        <f t="shared" si="1"/>
        <v>-0.4</v>
      </c>
      <c r="AB28" s="21">
        <f t="shared" si="4"/>
        <v>3.2</v>
      </c>
    </row>
    <row r="29" ht="15.75" customHeight="1">
      <c r="A29" s="13" t="s">
        <v>298</v>
      </c>
      <c r="B29" s="15">
        <v>52.9</v>
      </c>
      <c r="C29" s="15">
        <v>51.9</v>
      </c>
      <c r="D29" s="15">
        <v>52.9</v>
      </c>
      <c r="E29" s="15">
        <v>53.7</v>
      </c>
      <c r="F29" s="16">
        <v>54.5</v>
      </c>
      <c r="G29" s="73">
        <v>54.3</v>
      </c>
      <c r="H29" s="13">
        <v>53.9</v>
      </c>
      <c r="I29" s="73">
        <v>55.0</v>
      </c>
      <c r="J29" s="116">
        <v>55.5</v>
      </c>
      <c r="K29" s="116">
        <v>56.2</v>
      </c>
      <c r="L29" s="116">
        <v>55.3</v>
      </c>
      <c r="M29" s="117">
        <v>55.6</v>
      </c>
      <c r="N29" s="118">
        <v>55.3</v>
      </c>
      <c r="O29" s="119">
        <v>56.3</v>
      </c>
      <c r="P29" s="119">
        <v>55.7</v>
      </c>
      <c r="Q29" s="119">
        <v>54.7</v>
      </c>
      <c r="R29" s="119">
        <v>56.3</v>
      </c>
      <c r="S29" s="119">
        <v>55.5</v>
      </c>
      <c r="T29" s="119">
        <v>57.7</v>
      </c>
      <c r="U29" s="119">
        <v>57.9</v>
      </c>
      <c r="V29" s="119">
        <v>56.6</v>
      </c>
      <c r="W29" s="120">
        <v>55.9</v>
      </c>
      <c r="X29" s="120">
        <v>57.2</v>
      </c>
      <c r="Y29" s="18">
        <v>57.5</v>
      </c>
      <c r="Z29" s="20" t="s">
        <v>17</v>
      </c>
      <c r="AA29" s="21">
        <f t="shared" si="1"/>
        <v>0.3</v>
      </c>
      <c r="AB29" s="21">
        <f t="shared" si="4"/>
        <v>3</v>
      </c>
    </row>
    <row r="30" ht="15.75" customHeight="1">
      <c r="A30" s="13" t="s">
        <v>299</v>
      </c>
      <c r="B30" s="15">
        <v>59.3</v>
      </c>
      <c r="C30" s="15">
        <v>58.8</v>
      </c>
      <c r="D30" s="15">
        <v>61.0</v>
      </c>
      <c r="E30" s="15">
        <v>61.0</v>
      </c>
      <c r="F30" s="16">
        <v>60.8</v>
      </c>
      <c r="G30" s="73">
        <v>60.4</v>
      </c>
      <c r="H30" s="13">
        <v>60.0</v>
      </c>
      <c r="I30" s="73">
        <v>60.0</v>
      </c>
      <c r="J30" s="116"/>
      <c r="K30" s="116">
        <v>59.0</v>
      </c>
      <c r="L30" s="116">
        <v>60.0</v>
      </c>
      <c r="M30" s="117">
        <v>59.3</v>
      </c>
      <c r="N30" s="118">
        <v>59.5</v>
      </c>
      <c r="O30" s="119">
        <v>60.9</v>
      </c>
      <c r="P30" s="119">
        <v>61.2</v>
      </c>
      <c r="Q30" s="119">
        <v>61.3</v>
      </c>
      <c r="R30" s="119">
        <v>61.3</v>
      </c>
      <c r="S30" s="119" t="s">
        <v>300</v>
      </c>
      <c r="T30" s="119">
        <v>61.9</v>
      </c>
      <c r="U30" s="119">
        <v>62.4</v>
      </c>
      <c r="V30" s="119">
        <v>62.4</v>
      </c>
      <c r="W30" s="120">
        <v>62.9</v>
      </c>
      <c r="X30" s="120">
        <v>62.8</v>
      </c>
      <c r="Y30" s="18">
        <v>62.4</v>
      </c>
      <c r="Z30" s="20" t="s">
        <v>7</v>
      </c>
      <c r="AA30" s="21">
        <f t="shared" si="1"/>
        <v>-0.4</v>
      </c>
      <c r="AB30" s="21">
        <f t="shared" si="4"/>
        <v>3.6</v>
      </c>
    </row>
    <row r="31" ht="15.75" customHeight="1">
      <c r="A31" s="13" t="s">
        <v>301</v>
      </c>
      <c r="B31" s="15"/>
      <c r="C31" s="15">
        <v>46.5</v>
      </c>
      <c r="D31" s="15">
        <v>47.4</v>
      </c>
      <c r="E31" s="15">
        <v>47.7</v>
      </c>
      <c r="F31" s="16">
        <v>47.3</v>
      </c>
      <c r="G31" s="73">
        <v>48.4</v>
      </c>
      <c r="H31" s="13"/>
      <c r="I31" s="73">
        <v>48.0</v>
      </c>
      <c r="J31" s="116">
        <v>48.6</v>
      </c>
      <c r="K31" s="116">
        <v>48.7</v>
      </c>
      <c r="L31" s="116">
        <v>49.3</v>
      </c>
      <c r="M31" s="117">
        <v>49.5</v>
      </c>
      <c r="N31" s="118">
        <v>49.5</v>
      </c>
      <c r="O31" s="119">
        <v>49.7</v>
      </c>
      <c r="P31" s="119">
        <v>49.5</v>
      </c>
      <c r="Q31" s="119">
        <v>50.4</v>
      </c>
      <c r="R31" s="119">
        <v>50.4</v>
      </c>
      <c r="S31" s="119">
        <v>50.4</v>
      </c>
      <c r="T31" s="119">
        <v>51.0</v>
      </c>
      <c r="U31" s="119">
        <v>51.4</v>
      </c>
      <c r="V31" s="119">
        <v>52.0</v>
      </c>
      <c r="W31" s="120">
        <v>52.9</v>
      </c>
      <c r="X31" s="120">
        <v>51.9</v>
      </c>
      <c r="Y31" s="18">
        <v>52.1</v>
      </c>
      <c r="Z31" s="20" t="s">
        <v>14</v>
      </c>
      <c r="AA31" s="21">
        <f t="shared" si="1"/>
        <v>0.2</v>
      </c>
      <c r="AB31" s="21">
        <f t="shared" si="4"/>
        <v>52.9</v>
      </c>
    </row>
    <row r="32" ht="15.75" customHeight="1">
      <c r="A32" s="13" t="s">
        <v>302</v>
      </c>
      <c r="B32" s="15">
        <v>66.5</v>
      </c>
      <c r="C32" s="15">
        <v>66.6</v>
      </c>
      <c r="D32" s="15">
        <v>68.4</v>
      </c>
      <c r="E32" s="15">
        <v>67.8</v>
      </c>
      <c r="F32" s="16">
        <v>69.1</v>
      </c>
      <c r="G32" s="73">
        <v>69.0</v>
      </c>
      <c r="H32" s="13">
        <v>69.0</v>
      </c>
      <c r="I32" s="100">
        <v>70.2</v>
      </c>
      <c r="J32" s="127">
        <v>69.2</v>
      </c>
      <c r="K32" s="116"/>
      <c r="L32" s="116"/>
      <c r="M32" s="117">
        <v>68.1</v>
      </c>
      <c r="N32" s="118">
        <v>68.0</v>
      </c>
      <c r="O32" s="119">
        <v>68.6</v>
      </c>
      <c r="P32" s="119">
        <v>69.0</v>
      </c>
      <c r="Q32" s="119">
        <v>68.9</v>
      </c>
      <c r="R32" s="119">
        <v>70.7</v>
      </c>
      <c r="S32" s="119">
        <v>69.9</v>
      </c>
      <c r="T32" s="119">
        <v>70.0</v>
      </c>
      <c r="U32" s="119">
        <v>69.6</v>
      </c>
      <c r="V32" s="119">
        <v>70.8</v>
      </c>
      <c r="W32" s="120">
        <v>70.6</v>
      </c>
      <c r="X32" s="120">
        <v>69.3</v>
      </c>
      <c r="Y32" s="18">
        <v>70.6</v>
      </c>
      <c r="Z32" s="20" t="s">
        <v>7</v>
      </c>
      <c r="AA32" s="21">
        <f t="shared" si="1"/>
        <v>1.3</v>
      </c>
      <c r="AB32" s="21">
        <f t="shared" si="4"/>
        <v>4.1</v>
      </c>
    </row>
    <row r="33" ht="15.75" customHeight="1">
      <c r="A33" s="13" t="s">
        <v>303</v>
      </c>
      <c r="B33" s="15">
        <v>49.3</v>
      </c>
      <c r="C33" s="15">
        <v>49.7</v>
      </c>
      <c r="D33" s="15">
        <v>50.2</v>
      </c>
      <c r="E33" s="15">
        <v>49.9</v>
      </c>
      <c r="F33" s="16">
        <v>51.7</v>
      </c>
      <c r="G33" s="73">
        <v>52.3</v>
      </c>
      <c r="H33" s="13">
        <v>51.9</v>
      </c>
      <c r="I33" s="73">
        <v>52.4</v>
      </c>
      <c r="J33" s="116">
        <v>52.8</v>
      </c>
      <c r="K33" s="116">
        <v>52.3</v>
      </c>
      <c r="L33" s="116">
        <v>52.0</v>
      </c>
      <c r="M33" s="117">
        <v>52.3</v>
      </c>
      <c r="N33" s="118">
        <v>52.5</v>
      </c>
      <c r="O33" s="119">
        <v>51.8</v>
      </c>
      <c r="P33" s="119">
        <v>53.4</v>
      </c>
      <c r="Q33" s="119">
        <v>52.2</v>
      </c>
      <c r="R33" s="119">
        <v>53.5</v>
      </c>
      <c r="S33" s="119">
        <v>53.4</v>
      </c>
      <c r="T33" s="119">
        <v>54.1</v>
      </c>
      <c r="U33" s="119">
        <v>54.2</v>
      </c>
      <c r="V33" s="119">
        <v>54.2</v>
      </c>
      <c r="W33" s="120">
        <v>54.8</v>
      </c>
      <c r="X33" s="120">
        <v>55.0</v>
      </c>
      <c r="Y33" s="18">
        <v>53.8</v>
      </c>
      <c r="Z33" s="20" t="s">
        <v>17</v>
      </c>
      <c r="AA33" s="21">
        <f t="shared" si="1"/>
        <v>-1.2</v>
      </c>
      <c r="AB33" s="21">
        <f t="shared" si="4"/>
        <v>5.5</v>
      </c>
    </row>
    <row r="34" ht="15.75" customHeight="1">
      <c r="A34" s="13" t="s">
        <v>304</v>
      </c>
      <c r="B34" s="15">
        <v>69.7</v>
      </c>
      <c r="C34" s="15">
        <v>68.2</v>
      </c>
      <c r="D34" s="15">
        <v>71.6</v>
      </c>
      <c r="E34" s="15">
        <v>71.6</v>
      </c>
      <c r="F34" s="16">
        <v>70.3</v>
      </c>
      <c r="G34" s="73"/>
      <c r="H34" s="13">
        <v>71.1</v>
      </c>
      <c r="I34" s="73">
        <v>71.9</v>
      </c>
      <c r="J34" s="116">
        <v>71.6</v>
      </c>
      <c r="K34" s="116">
        <v>72.5</v>
      </c>
      <c r="L34" s="116">
        <v>72.3</v>
      </c>
      <c r="M34" s="117">
        <v>72.3</v>
      </c>
      <c r="N34" s="118">
        <v>72.3</v>
      </c>
      <c r="O34" s="119">
        <v>72.2</v>
      </c>
      <c r="P34" s="119">
        <v>72.7</v>
      </c>
      <c r="Q34" s="119">
        <v>73.0</v>
      </c>
      <c r="R34" s="119">
        <v>74.2</v>
      </c>
      <c r="S34" s="119">
        <v>73.6</v>
      </c>
      <c r="T34" s="119">
        <v>74.6</v>
      </c>
      <c r="U34" s="119">
        <v>74.7</v>
      </c>
      <c r="V34" s="119">
        <v>75.5</v>
      </c>
      <c r="W34" s="120">
        <v>75.7</v>
      </c>
      <c r="X34" s="120">
        <v>74.7</v>
      </c>
      <c r="Y34" s="24">
        <v>74.8</v>
      </c>
      <c r="Z34" s="20" t="s">
        <v>7</v>
      </c>
      <c r="AA34" s="21">
        <f t="shared" si="1"/>
        <v>0.1</v>
      </c>
      <c r="AB34" s="21">
        <f t="shared" si="4"/>
        <v>6</v>
      </c>
    </row>
    <row r="35" ht="15.75" customHeight="1">
      <c r="A35" s="13" t="s">
        <v>305</v>
      </c>
      <c r="B35" s="15">
        <v>69.2</v>
      </c>
      <c r="C35" s="15">
        <v>68.0</v>
      </c>
      <c r="D35" s="15">
        <v>68.9</v>
      </c>
      <c r="E35" s="15">
        <v>68.4</v>
      </c>
      <c r="F35" s="16">
        <v>68.6</v>
      </c>
      <c r="G35" s="73">
        <v>70.0</v>
      </c>
      <c r="H35" s="13">
        <v>69.8</v>
      </c>
      <c r="I35" s="73">
        <v>70.8</v>
      </c>
      <c r="J35" s="116">
        <v>70.4</v>
      </c>
      <c r="K35" s="116">
        <v>70.3</v>
      </c>
      <c r="L35" s="116">
        <v>70.7</v>
      </c>
      <c r="M35" s="117">
        <v>71.0</v>
      </c>
      <c r="N35" s="118">
        <v>70.9</v>
      </c>
      <c r="O35" s="119">
        <v>71.9</v>
      </c>
      <c r="P35" s="119">
        <v>72.5</v>
      </c>
      <c r="Q35" s="119">
        <v>71.9</v>
      </c>
      <c r="R35" s="119">
        <v>73.9</v>
      </c>
      <c r="S35" s="119">
        <v>73.2</v>
      </c>
      <c r="T35" s="119">
        <v>73.5</v>
      </c>
      <c r="U35" s="119">
        <v>73.0</v>
      </c>
      <c r="V35" s="119">
        <v>72.6</v>
      </c>
      <c r="W35" s="120">
        <v>72.2</v>
      </c>
      <c r="X35" s="120">
        <v>73.3</v>
      </c>
      <c r="Y35" s="19">
        <v>72.8</v>
      </c>
      <c r="Z35" s="20" t="s">
        <v>14</v>
      </c>
      <c r="AA35" s="21">
        <f t="shared" si="1"/>
        <v>-0.5</v>
      </c>
      <c r="AB35" s="21">
        <f t="shared" si="4"/>
        <v>3</v>
      </c>
    </row>
    <row r="36" ht="15.75" customHeight="1">
      <c r="A36" s="46" t="s">
        <v>306</v>
      </c>
      <c r="B36" s="15">
        <v>59.2</v>
      </c>
      <c r="C36" s="15">
        <v>58.5</v>
      </c>
      <c r="D36" s="15">
        <v>58.4</v>
      </c>
      <c r="E36" s="15">
        <v>59.3</v>
      </c>
      <c r="F36" s="16">
        <v>59.7</v>
      </c>
      <c r="G36" s="73">
        <v>60.7</v>
      </c>
      <c r="H36" s="13">
        <v>60.0</v>
      </c>
      <c r="I36" s="73">
        <v>61.2</v>
      </c>
      <c r="J36" s="73">
        <v>60.2</v>
      </c>
      <c r="K36" s="116"/>
      <c r="L36" s="116">
        <v>58.1</v>
      </c>
      <c r="M36" s="128">
        <v>59.4</v>
      </c>
      <c r="N36" s="118"/>
      <c r="O36" s="116">
        <v>60.0</v>
      </c>
      <c r="P36" s="119">
        <v>60.5</v>
      </c>
      <c r="Q36" s="119">
        <v>60.5</v>
      </c>
      <c r="R36" s="119">
        <v>60.9</v>
      </c>
      <c r="S36" s="116">
        <v>62.4</v>
      </c>
      <c r="T36" s="116">
        <v>62.3</v>
      </c>
      <c r="U36" s="119">
        <v>63.2</v>
      </c>
      <c r="V36" s="119">
        <v>62.1</v>
      </c>
      <c r="W36" s="120">
        <v>61.3</v>
      </c>
      <c r="X36" s="120">
        <v>62.7</v>
      </c>
      <c r="Y36" s="24">
        <v>63.3</v>
      </c>
      <c r="Z36" s="20" t="s">
        <v>14</v>
      </c>
      <c r="AA36" s="21">
        <f t="shared" si="1"/>
        <v>0.6</v>
      </c>
      <c r="AB36" s="21">
        <f t="shared" si="4"/>
        <v>2.1</v>
      </c>
    </row>
    <row r="37" ht="15.75" customHeight="1">
      <c r="A37" s="13" t="s">
        <v>307</v>
      </c>
      <c r="B37" s="15">
        <v>67.4</v>
      </c>
      <c r="C37" s="15">
        <v>67.4</v>
      </c>
      <c r="D37" s="15">
        <v>75.8</v>
      </c>
      <c r="E37" s="15">
        <v>65.3</v>
      </c>
      <c r="F37" s="16">
        <v>64.9</v>
      </c>
      <c r="G37" s="73">
        <v>65.1</v>
      </c>
      <c r="H37" s="13">
        <v>64.8</v>
      </c>
      <c r="I37" s="73">
        <v>65.7</v>
      </c>
      <c r="J37" s="116">
        <v>65.5</v>
      </c>
      <c r="K37" s="116">
        <v>65.0</v>
      </c>
      <c r="L37" s="116">
        <v>65.7</v>
      </c>
      <c r="M37" s="117">
        <v>65.7</v>
      </c>
      <c r="N37" s="124">
        <v>68.4</v>
      </c>
      <c r="O37" s="119">
        <v>67.5</v>
      </c>
      <c r="P37" s="119">
        <v>67.6</v>
      </c>
      <c r="Q37" s="119">
        <v>68.0</v>
      </c>
      <c r="R37" s="119">
        <v>70.4</v>
      </c>
      <c r="S37" s="119" t="s">
        <v>308</v>
      </c>
      <c r="T37" s="119">
        <v>70.0</v>
      </c>
      <c r="U37" s="119">
        <v>69.4</v>
      </c>
      <c r="V37" s="119">
        <v>70.3</v>
      </c>
      <c r="W37" s="120">
        <v>70.1</v>
      </c>
      <c r="X37" s="120">
        <v>70.1</v>
      </c>
      <c r="Y37" s="19">
        <v>70.8</v>
      </c>
      <c r="Z37" s="20" t="s">
        <v>7</v>
      </c>
      <c r="AA37" s="21">
        <f t="shared" si="1"/>
        <v>0.7</v>
      </c>
      <c r="AB37" s="21">
        <f t="shared" si="4"/>
        <v>2.7</v>
      </c>
    </row>
    <row r="38" ht="15.75" customHeight="1">
      <c r="A38" s="13" t="s">
        <v>309</v>
      </c>
      <c r="B38" s="15">
        <v>55.6</v>
      </c>
      <c r="C38" s="15">
        <v>55.7</v>
      </c>
      <c r="D38" s="15">
        <v>57.2</v>
      </c>
      <c r="E38" s="15">
        <v>56.9</v>
      </c>
      <c r="F38" s="16">
        <v>57.8</v>
      </c>
      <c r="G38" s="73">
        <v>58.0</v>
      </c>
      <c r="H38" s="13">
        <v>57.7</v>
      </c>
      <c r="I38" s="73">
        <v>58.1</v>
      </c>
      <c r="J38" s="116">
        <v>57.4</v>
      </c>
      <c r="K38" s="116">
        <v>57.8</v>
      </c>
      <c r="L38" s="116">
        <v>56.6</v>
      </c>
      <c r="M38" s="117">
        <v>57.5</v>
      </c>
      <c r="N38" s="118">
        <v>57.0</v>
      </c>
      <c r="O38" s="119">
        <v>56.9</v>
      </c>
      <c r="P38" s="119">
        <v>58.5</v>
      </c>
      <c r="Q38" s="119">
        <v>57.4</v>
      </c>
      <c r="R38" s="119">
        <v>57.7</v>
      </c>
      <c r="S38" s="119">
        <v>58.6</v>
      </c>
      <c r="T38" s="119">
        <v>59.3</v>
      </c>
      <c r="U38" s="119">
        <v>59.8</v>
      </c>
      <c r="V38" s="119">
        <v>59.3</v>
      </c>
      <c r="W38" s="120">
        <v>60.4</v>
      </c>
      <c r="X38" s="120">
        <v>60.3</v>
      </c>
      <c r="Y38" s="24"/>
      <c r="Z38" s="20" t="s">
        <v>17</v>
      </c>
      <c r="AA38" s="21">
        <f t="shared" si="1"/>
        <v>-60.3</v>
      </c>
      <c r="AB38" s="21">
        <f t="shared" si="4"/>
        <v>4.8</v>
      </c>
    </row>
    <row r="39" ht="15.75" customHeight="1">
      <c r="A39" s="13" t="s">
        <v>310</v>
      </c>
      <c r="B39" s="15">
        <v>61.1</v>
      </c>
      <c r="C39" s="15"/>
      <c r="D39" s="15">
        <v>63.5</v>
      </c>
      <c r="E39" s="15">
        <v>62.4</v>
      </c>
      <c r="F39" s="16">
        <v>62.3</v>
      </c>
      <c r="G39" s="73">
        <v>62.4</v>
      </c>
      <c r="H39" s="13">
        <v>62.9</v>
      </c>
      <c r="I39" s="73">
        <v>63.7</v>
      </c>
      <c r="J39" s="116">
        <v>64.3</v>
      </c>
      <c r="K39" s="116"/>
      <c r="L39" s="116">
        <v>63.7</v>
      </c>
      <c r="M39" s="117">
        <v>65.1</v>
      </c>
      <c r="N39" s="118">
        <v>65.3</v>
      </c>
      <c r="O39" s="119">
        <v>65.8</v>
      </c>
      <c r="P39" s="119">
        <v>66.1</v>
      </c>
      <c r="Q39" s="119">
        <v>65.5</v>
      </c>
      <c r="R39" s="119">
        <v>66.1</v>
      </c>
      <c r="S39" s="119" t="s">
        <v>311</v>
      </c>
      <c r="T39" s="119">
        <v>66.3</v>
      </c>
      <c r="U39" s="119">
        <v>67.0</v>
      </c>
      <c r="V39" s="119">
        <v>66.3</v>
      </c>
      <c r="W39" s="120">
        <v>67.2</v>
      </c>
      <c r="X39" s="120">
        <v>65.8</v>
      </c>
      <c r="Y39" s="24">
        <v>66.5</v>
      </c>
      <c r="Z39" s="20" t="s">
        <v>14</v>
      </c>
      <c r="AA39" s="21">
        <f t="shared" si="1"/>
        <v>0.7</v>
      </c>
      <c r="AB39" s="21">
        <f>W39-D39</f>
        <v>3.7</v>
      </c>
    </row>
    <row r="40" ht="15.75" customHeight="1">
      <c r="A40" s="13" t="s">
        <v>312</v>
      </c>
      <c r="B40" s="15">
        <v>40.4</v>
      </c>
      <c r="C40" s="15">
        <v>40.6</v>
      </c>
      <c r="D40" s="15">
        <v>41.1</v>
      </c>
      <c r="E40" s="15">
        <v>40.8</v>
      </c>
      <c r="F40" s="16">
        <v>42.0</v>
      </c>
      <c r="G40" s="73">
        <v>42.5</v>
      </c>
      <c r="H40" s="13">
        <v>42.4</v>
      </c>
      <c r="I40" s="73">
        <v>42.2</v>
      </c>
      <c r="J40" s="116">
        <v>42.9</v>
      </c>
      <c r="K40" s="116">
        <v>42.7</v>
      </c>
      <c r="L40" s="116">
        <v>43.2</v>
      </c>
      <c r="M40" s="117">
        <v>44.2</v>
      </c>
      <c r="N40" s="118">
        <v>44.6</v>
      </c>
      <c r="O40" s="119">
        <v>44.1</v>
      </c>
      <c r="P40" s="119">
        <v>45.2</v>
      </c>
      <c r="Q40" s="119">
        <v>45.2</v>
      </c>
      <c r="R40" s="119">
        <v>45.7</v>
      </c>
      <c r="S40" s="119">
        <v>45.4</v>
      </c>
      <c r="T40" s="119">
        <v>46.1</v>
      </c>
      <c r="U40" s="119">
        <v>46.0</v>
      </c>
      <c r="V40" s="119">
        <v>45.7</v>
      </c>
      <c r="W40" s="120">
        <v>46.8</v>
      </c>
      <c r="X40" s="120">
        <v>46.9</v>
      </c>
      <c r="Y40" s="19">
        <v>46.6</v>
      </c>
      <c r="Z40" s="20" t="s">
        <v>17</v>
      </c>
      <c r="AA40" s="21">
        <f t="shared" si="1"/>
        <v>-0.3</v>
      </c>
      <c r="AB40" s="21">
        <f t="shared" ref="AB40:AB44" si="5">W40-B40</f>
        <v>6.4</v>
      </c>
    </row>
    <row r="41" ht="15.75" customHeight="1">
      <c r="A41" s="13" t="s">
        <v>313</v>
      </c>
      <c r="B41" s="15">
        <v>62.8</v>
      </c>
      <c r="C41" s="15">
        <v>62.3</v>
      </c>
      <c r="D41" s="15"/>
      <c r="E41" s="15">
        <v>62.9</v>
      </c>
      <c r="F41" s="16">
        <v>62.8</v>
      </c>
      <c r="G41" s="73">
        <v>64.3</v>
      </c>
      <c r="H41" s="13">
        <v>63.8</v>
      </c>
      <c r="I41" s="73">
        <v>64.8</v>
      </c>
      <c r="J41" s="116">
        <v>63.9</v>
      </c>
      <c r="K41" s="116">
        <v>64.1</v>
      </c>
      <c r="L41" s="116">
        <v>63.4</v>
      </c>
      <c r="M41" s="117">
        <v>64.5</v>
      </c>
      <c r="N41" s="118"/>
      <c r="O41" s="119">
        <v>64.0</v>
      </c>
      <c r="P41" s="119">
        <v>63.6</v>
      </c>
      <c r="Q41" s="119">
        <v>63.5</v>
      </c>
      <c r="R41" s="119">
        <v>63.1</v>
      </c>
      <c r="S41" s="119" t="s">
        <v>314</v>
      </c>
      <c r="T41" s="119">
        <v>63.6</v>
      </c>
      <c r="U41" s="119">
        <v>62.7</v>
      </c>
      <c r="V41" s="119">
        <v>64.1</v>
      </c>
      <c r="W41" s="120">
        <v>64.4</v>
      </c>
      <c r="X41" s="120"/>
      <c r="Y41" s="24">
        <v>63.8</v>
      </c>
      <c r="Z41" s="20" t="s">
        <v>14</v>
      </c>
      <c r="AA41" s="21">
        <f t="shared" si="1"/>
        <v>63.8</v>
      </c>
      <c r="AB41" s="21">
        <f t="shared" si="5"/>
        <v>1.6</v>
      </c>
    </row>
    <row r="42" ht="15.75" customHeight="1">
      <c r="A42" s="46" t="s">
        <v>315</v>
      </c>
      <c r="B42" s="15">
        <v>76.7</v>
      </c>
      <c r="C42" s="15">
        <v>76.6</v>
      </c>
      <c r="D42" s="15">
        <v>75.2</v>
      </c>
      <c r="E42" s="15">
        <v>75.6</v>
      </c>
      <c r="F42" s="16">
        <v>76.3</v>
      </c>
      <c r="G42" s="73">
        <v>76.8</v>
      </c>
      <c r="H42" s="13">
        <v>76.7</v>
      </c>
      <c r="I42" s="73">
        <v>77.0</v>
      </c>
      <c r="J42" s="116">
        <v>76.6</v>
      </c>
      <c r="K42" s="116"/>
      <c r="L42" s="116">
        <v>74.3</v>
      </c>
      <c r="M42" s="117">
        <v>75.4</v>
      </c>
      <c r="N42" s="118">
        <v>75.5</v>
      </c>
      <c r="O42" s="119">
        <v>76.9</v>
      </c>
      <c r="P42" s="119">
        <v>76.9</v>
      </c>
      <c r="Q42" s="119">
        <v>78.6</v>
      </c>
      <c r="R42" s="119">
        <v>76.3</v>
      </c>
      <c r="S42" s="119">
        <v>77.7</v>
      </c>
      <c r="T42" s="119">
        <v>77.2</v>
      </c>
      <c r="U42" s="119">
        <v>77.0</v>
      </c>
      <c r="V42" s="119">
        <v>77.5</v>
      </c>
      <c r="W42" s="120">
        <v>77.1</v>
      </c>
      <c r="X42" s="120">
        <v>76.7</v>
      </c>
      <c r="Y42" s="129">
        <v>76.0</v>
      </c>
      <c r="Z42" s="20" t="s">
        <v>14</v>
      </c>
      <c r="AA42" s="21">
        <f t="shared" si="1"/>
        <v>-0.7</v>
      </c>
      <c r="AB42" s="21">
        <f t="shared" si="5"/>
        <v>0.4</v>
      </c>
    </row>
    <row r="43" ht="15.75" customHeight="1">
      <c r="A43" s="13" t="s">
        <v>316</v>
      </c>
      <c r="B43" s="15">
        <v>68.7</v>
      </c>
      <c r="C43" s="15">
        <v>67.9</v>
      </c>
      <c r="D43" s="15">
        <v>68.2</v>
      </c>
      <c r="E43" s="15"/>
      <c r="F43" s="16">
        <v>67.3</v>
      </c>
      <c r="G43" s="73">
        <v>67.7</v>
      </c>
      <c r="H43" s="13">
        <v>68.0</v>
      </c>
      <c r="I43" s="73">
        <v>67.8</v>
      </c>
      <c r="J43" s="116"/>
      <c r="K43" s="116">
        <v>66.6</v>
      </c>
      <c r="L43" s="116">
        <v>67.3</v>
      </c>
      <c r="M43" s="117">
        <v>67.7</v>
      </c>
      <c r="N43" s="118">
        <v>67.3</v>
      </c>
      <c r="O43" s="119">
        <v>68.3</v>
      </c>
      <c r="P43" s="119">
        <v>68.1</v>
      </c>
      <c r="Q43" s="119">
        <v>68.6</v>
      </c>
      <c r="R43" s="119">
        <v>68.4</v>
      </c>
      <c r="S43" s="119" t="s">
        <v>202</v>
      </c>
      <c r="T43" s="119">
        <v>68.3</v>
      </c>
      <c r="U43" s="119">
        <v>69.3</v>
      </c>
      <c r="V43" s="119">
        <v>69.1</v>
      </c>
      <c r="W43" s="120">
        <v>69.4</v>
      </c>
      <c r="X43" s="120">
        <v>69.3</v>
      </c>
      <c r="Y43" s="129">
        <v>70.1</v>
      </c>
      <c r="Z43" s="20" t="s">
        <v>7</v>
      </c>
      <c r="AA43" s="21">
        <f t="shared" si="1"/>
        <v>0.8</v>
      </c>
      <c r="AB43" s="21">
        <f t="shared" si="5"/>
        <v>0.7</v>
      </c>
    </row>
    <row r="44" ht="15.75" customHeight="1">
      <c r="A44" s="13" t="s">
        <v>317</v>
      </c>
      <c r="B44" s="15">
        <v>43.9</v>
      </c>
      <c r="C44" s="15">
        <v>43.9</v>
      </c>
      <c r="D44" s="15">
        <v>44.1</v>
      </c>
      <c r="E44" s="15">
        <v>42.9</v>
      </c>
      <c r="F44" s="16">
        <v>44.6</v>
      </c>
      <c r="G44" s="73">
        <v>45.1</v>
      </c>
      <c r="H44" s="13">
        <v>45.5</v>
      </c>
      <c r="I44" s="73">
        <v>45.6</v>
      </c>
      <c r="J44" s="116">
        <v>45.3</v>
      </c>
      <c r="K44" s="116">
        <v>46.2</v>
      </c>
      <c r="L44" s="116">
        <v>46.2</v>
      </c>
      <c r="M44" s="117">
        <v>46.1</v>
      </c>
      <c r="N44" s="118">
        <v>47.4</v>
      </c>
      <c r="O44" s="119">
        <v>47.5</v>
      </c>
      <c r="P44" s="119">
        <v>47.9</v>
      </c>
      <c r="Q44" s="119">
        <v>47.8</v>
      </c>
      <c r="R44" s="119">
        <v>48.6</v>
      </c>
      <c r="S44" s="119">
        <v>49.2</v>
      </c>
      <c r="T44" s="119">
        <v>49.5</v>
      </c>
      <c r="U44" s="119">
        <v>49.5</v>
      </c>
      <c r="V44" s="119">
        <v>49.8</v>
      </c>
      <c r="W44" s="120">
        <v>50.6</v>
      </c>
      <c r="X44" s="120">
        <v>51.5</v>
      </c>
      <c r="Y44" s="129">
        <v>51.6</v>
      </c>
      <c r="Z44" s="20" t="s">
        <v>17</v>
      </c>
      <c r="AA44" s="21">
        <f t="shared" si="1"/>
        <v>0.1</v>
      </c>
      <c r="AB44" s="21">
        <f t="shared" si="5"/>
        <v>6.7</v>
      </c>
    </row>
    <row r="45" ht="15.75" customHeight="1">
      <c r="D45" s="37"/>
    </row>
    <row r="46" ht="15.75" customHeight="1">
      <c r="D46" s="37"/>
    </row>
    <row r="47" ht="15.75" customHeight="1">
      <c r="A47" s="58" t="s">
        <v>91</v>
      </c>
      <c r="D47" s="37"/>
    </row>
    <row r="48" ht="15.75" customHeight="1">
      <c r="D48" s="37"/>
    </row>
    <row r="49" ht="15.75" customHeight="1">
      <c r="D49" s="37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$45">
    <sortState ref="A2:A45">
      <sortCondition ref="A2:A45"/>
    </sortState>
  </autoFilter>
  <mergeCells count="1">
    <mergeCell ref="B1:AP1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21.75"/>
    <col customWidth="1" min="3" max="6" width="12.63"/>
  </cols>
  <sheetData>
    <row r="1" ht="15.75" customHeight="1">
      <c r="A1" s="130" t="s">
        <v>318</v>
      </c>
      <c r="B1" s="130" t="s">
        <v>0</v>
      </c>
      <c r="C1" s="130" t="s">
        <v>319</v>
      </c>
      <c r="D1" s="131"/>
      <c r="E1" s="132"/>
      <c r="G1" s="132"/>
      <c r="I1" s="132"/>
    </row>
    <row r="2" ht="15.75" customHeight="1">
      <c r="A2" s="133" t="s">
        <v>320</v>
      </c>
      <c r="B2" s="134" t="s">
        <v>321</v>
      </c>
      <c r="C2" s="134">
        <v>1.5</v>
      </c>
      <c r="D2" s="135">
        <v>45725.0</v>
      </c>
      <c r="E2" s="132"/>
      <c r="F2" s="132"/>
      <c r="G2" s="132"/>
      <c r="H2" s="132"/>
      <c r="I2" s="132"/>
      <c r="J2" s="132"/>
    </row>
    <row r="3" ht="15.75" customHeight="1">
      <c r="A3" s="136" t="s">
        <v>322</v>
      </c>
      <c r="B3" s="137" t="s">
        <v>59</v>
      </c>
      <c r="C3" s="138">
        <v>1.6</v>
      </c>
      <c r="D3" s="139"/>
      <c r="E3" s="132"/>
      <c r="F3" s="132"/>
      <c r="G3" s="132"/>
      <c r="H3" s="132"/>
      <c r="I3" s="132"/>
      <c r="J3" s="132"/>
    </row>
    <row r="4" ht="15.75" customHeight="1">
      <c r="A4" s="140"/>
      <c r="B4" s="137" t="s">
        <v>62</v>
      </c>
      <c r="C4" s="138">
        <v>-1.9</v>
      </c>
      <c r="D4" s="139"/>
      <c r="E4" s="132"/>
      <c r="F4" s="132"/>
      <c r="G4" s="132"/>
      <c r="H4" s="132"/>
      <c r="I4" s="132"/>
      <c r="J4" s="132"/>
    </row>
    <row r="5" ht="15.75" customHeight="1">
      <c r="A5" s="136" t="s">
        <v>323</v>
      </c>
      <c r="B5" s="137" t="s">
        <v>114</v>
      </c>
      <c r="C5" s="137">
        <v>1.2999999999999972</v>
      </c>
      <c r="D5" s="139"/>
      <c r="E5" s="132"/>
      <c r="F5" s="141"/>
      <c r="G5" s="132"/>
      <c r="H5" s="141"/>
      <c r="I5" s="132"/>
      <c r="J5" s="141"/>
    </row>
    <row r="6" ht="15.75" customHeight="1">
      <c r="A6" s="140"/>
      <c r="B6" s="137" t="s">
        <v>134</v>
      </c>
      <c r="C6" s="137">
        <v>-1.0</v>
      </c>
      <c r="D6" s="139"/>
      <c r="E6" s="132"/>
      <c r="F6" s="141"/>
      <c r="G6" s="132"/>
      <c r="H6" s="141"/>
      <c r="I6" s="132"/>
      <c r="J6" s="141"/>
    </row>
    <row r="7" ht="15.75" customHeight="1">
      <c r="A7" s="136" t="s">
        <v>324</v>
      </c>
      <c r="B7" s="137" t="s">
        <v>159</v>
      </c>
      <c r="C7" s="137">
        <v>-1.1000000000000014</v>
      </c>
      <c r="D7" s="139"/>
      <c r="E7" s="132"/>
      <c r="G7" s="132"/>
      <c r="I7" s="132"/>
    </row>
    <row r="8" ht="15.75" customHeight="1">
      <c r="A8" s="142"/>
      <c r="B8" s="137" t="s">
        <v>200</v>
      </c>
      <c r="C8" s="137">
        <v>-1.5999999999999943</v>
      </c>
      <c r="D8" s="139"/>
      <c r="E8" s="132"/>
      <c r="F8" s="132"/>
      <c r="G8" s="132"/>
      <c r="H8" s="132"/>
      <c r="I8" s="132"/>
      <c r="J8" s="132"/>
    </row>
    <row r="9" ht="15.75" customHeight="1">
      <c r="A9" s="140"/>
      <c r="B9" s="137" t="s">
        <v>204</v>
      </c>
      <c r="C9" s="137">
        <v>-1.0999999999999943</v>
      </c>
      <c r="D9" s="139"/>
      <c r="E9" s="132"/>
      <c r="F9" s="132"/>
      <c r="G9" s="132"/>
      <c r="H9" s="132"/>
      <c r="I9" s="132"/>
      <c r="J9" s="132"/>
    </row>
    <row r="10" ht="15.75" customHeight="1">
      <c r="A10" s="136" t="s">
        <v>325</v>
      </c>
      <c r="B10" s="137" t="s">
        <v>212</v>
      </c>
      <c r="C10" s="137">
        <v>1.5</v>
      </c>
      <c r="D10" s="139"/>
      <c r="E10" s="132"/>
      <c r="F10" s="132"/>
      <c r="G10" s="132"/>
      <c r="H10" s="132"/>
      <c r="I10" s="132"/>
      <c r="J10" s="132"/>
    </row>
    <row r="11" ht="15.75" customHeight="1">
      <c r="A11" s="142"/>
      <c r="B11" s="137" t="s">
        <v>213</v>
      </c>
      <c r="C11" s="137">
        <v>-1.1000000000000085</v>
      </c>
      <c r="D11" s="139"/>
      <c r="E11" s="132"/>
      <c r="F11" s="141"/>
      <c r="G11" s="132"/>
      <c r="H11" s="141"/>
      <c r="I11" s="132"/>
      <c r="J11" s="141"/>
    </row>
    <row r="12" ht="15.75" customHeight="1">
      <c r="A12" s="142"/>
      <c r="B12" s="137" t="s">
        <v>215</v>
      </c>
      <c r="C12" s="137">
        <v>1.3999999999999915</v>
      </c>
      <c r="D12" s="139"/>
      <c r="E12" s="132"/>
      <c r="F12" s="141"/>
      <c r="G12" s="132"/>
      <c r="H12" s="141"/>
      <c r="I12" s="132"/>
      <c r="J12" s="141"/>
    </row>
    <row r="13" ht="15.75" customHeight="1">
      <c r="A13" s="142"/>
      <c r="B13" s="137" t="s">
        <v>217</v>
      </c>
      <c r="C13" s="137">
        <v>-1.2000000000000028</v>
      </c>
      <c r="D13" s="139"/>
      <c r="E13" s="132"/>
      <c r="G13" s="132"/>
      <c r="I13" s="132"/>
    </row>
    <row r="14" ht="15.75" customHeight="1">
      <c r="A14" s="142"/>
      <c r="B14" s="137" t="s">
        <v>221</v>
      </c>
      <c r="C14" s="137">
        <v>1.5999999999999943</v>
      </c>
      <c r="D14" s="139"/>
      <c r="E14" s="132"/>
      <c r="F14" s="132"/>
      <c r="G14" s="132"/>
      <c r="H14" s="132"/>
      <c r="I14" s="132"/>
      <c r="J14" s="132"/>
    </row>
    <row r="15" ht="15.75" customHeight="1">
      <c r="A15" s="142"/>
      <c r="B15" s="137" t="s">
        <v>227</v>
      </c>
      <c r="C15" s="137">
        <v>-1.3999999999999986</v>
      </c>
      <c r="D15" s="139"/>
      <c r="E15" s="132"/>
      <c r="F15" s="132"/>
      <c r="G15" s="132"/>
      <c r="H15" s="132"/>
      <c r="I15" s="132"/>
      <c r="J15" s="132"/>
    </row>
    <row r="16" ht="15.75" customHeight="1">
      <c r="A16" s="142"/>
      <c r="B16" s="137" t="s">
        <v>232</v>
      </c>
      <c r="C16" s="137">
        <v>1.9000000000000057</v>
      </c>
      <c r="D16" s="139"/>
      <c r="E16" s="132"/>
      <c r="F16" s="141"/>
      <c r="G16" s="132"/>
      <c r="H16" s="141"/>
      <c r="I16" s="132"/>
      <c r="J16" s="141"/>
    </row>
    <row r="17" ht="15.75" customHeight="1">
      <c r="A17" s="142"/>
      <c r="B17" s="137" t="s">
        <v>235</v>
      </c>
      <c r="C17" s="137">
        <v>-1.7000000000000028</v>
      </c>
      <c r="D17" s="139"/>
      <c r="E17" s="132"/>
      <c r="F17" s="141"/>
      <c r="G17" s="132"/>
      <c r="H17" s="141"/>
      <c r="I17" s="132"/>
      <c r="J17" s="141"/>
    </row>
    <row r="18" ht="15.75" customHeight="1">
      <c r="A18" s="142"/>
      <c r="B18" s="137" t="s">
        <v>238</v>
      </c>
      <c r="C18" s="137">
        <v>-1.5</v>
      </c>
      <c r="D18" s="139"/>
      <c r="E18" s="132"/>
      <c r="G18" s="132"/>
      <c r="I18" s="132"/>
    </row>
    <row r="19" ht="15.75" customHeight="1">
      <c r="A19" s="142"/>
      <c r="B19" s="137" t="s">
        <v>239</v>
      </c>
      <c r="C19" s="137">
        <v>2.0</v>
      </c>
      <c r="D19" s="139"/>
      <c r="E19" s="132"/>
      <c r="F19" s="132"/>
      <c r="G19" s="132"/>
      <c r="H19" s="132"/>
      <c r="I19" s="132"/>
      <c r="J19" s="132"/>
    </row>
    <row r="20" ht="15.75" customHeight="1">
      <c r="A20" s="142"/>
      <c r="B20" s="137" t="s">
        <v>246</v>
      </c>
      <c r="C20" s="137">
        <v>2.0</v>
      </c>
      <c r="D20" s="139"/>
      <c r="E20" s="132"/>
      <c r="F20" s="132"/>
      <c r="G20" s="132"/>
      <c r="H20" s="132"/>
      <c r="I20" s="132"/>
      <c r="J20" s="132"/>
    </row>
    <row r="21" ht="15.75" customHeight="1">
      <c r="A21" s="142"/>
      <c r="B21" s="137" t="s">
        <v>247</v>
      </c>
      <c r="C21" s="137">
        <v>-1.0</v>
      </c>
      <c r="D21" s="139"/>
      <c r="E21" s="132"/>
      <c r="F21" s="132"/>
      <c r="G21" s="132"/>
      <c r="H21" s="132"/>
      <c r="I21" s="132"/>
      <c r="J21" s="132"/>
    </row>
    <row r="22" ht="15.75" customHeight="1">
      <c r="A22" s="142"/>
      <c r="B22" s="137" t="s">
        <v>253</v>
      </c>
      <c r="C22" s="137">
        <v>1.2000000000000028</v>
      </c>
      <c r="D22" s="139"/>
      <c r="E22" s="132"/>
      <c r="F22" s="141"/>
      <c r="G22" s="132"/>
      <c r="H22" s="141"/>
      <c r="I22" s="132"/>
      <c r="J22" s="141"/>
    </row>
    <row r="23" ht="15.75" customHeight="1">
      <c r="A23" s="140"/>
      <c r="B23" s="137" t="s">
        <v>255</v>
      </c>
      <c r="C23" s="137">
        <v>1.0</v>
      </c>
      <c r="D23" s="139"/>
      <c r="E23" s="132"/>
      <c r="F23" s="141"/>
      <c r="G23" s="132"/>
      <c r="H23" s="141"/>
      <c r="I23" s="132"/>
      <c r="J23" s="141"/>
    </row>
    <row r="24" ht="15.75" customHeight="1">
      <c r="A24" s="136" t="s">
        <v>326</v>
      </c>
      <c r="B24" s="137" t="s">
        <v>270</v>
      </c>
      <c r="C24" s="137">
        <v>1.1000000000000014</v>
      </c>
      <c r="D24" s="139"/>
      <c r="E24" s="132"/>
      <c r="G24" s="132"/>
      <c r="I24" s="132"/>
    </row>
    <row r="25" ht="15.75" customHeight="1">
      <c r="A25" s="142"/>
      <c r="B25" s="137" t="s">
        <v>276</v>
      </c>
      <c r="C25" s="137">
        <v>1.2000000000000028</v>
      </c>
      <c r="D25" s="139"/>
      <c r="E25" s="132"/>
      <c r="F25" s="132"/>
      <c r="G25" s="132"/>
      <c r="H25" s="132"/>
      <c r="I25" s="132"/>
      <c r="J25" s="132"/>
    </row>
    <row r="26" ht="15.75" customHeight="1">
      <c r="A26" s="142"/>
      <c r="B26" s="137" t="s">
        <v>281</v>
      </c>
      <c r="C26" s="137">
        <v>1.5</v>
      </c>
      <c r="D26" s="139"/>
      <c r="E26" s="132"/>
      <c r="F26" s="132"/>
      <c r="G26" s="132"/>
      <c r="H26" s="132"/>
      <c r="I26" s="132"/>
      <c r="J26" s="132"/>
    </row>
    <row r="27" ht="15.75" customHeight="1">
      <c r="A27" s="142"/>
      <c r="B27" s="137" t="s">
        <v>287</v>
      </c>
      <c r="C27" s="137">
        <v>1.3999999999999915</v>
      </c>
      <c r="D27" s="139"/>
      <c r="E27" s="132"/>
      <c r="F27" s="132"/>
      <c r="G27" s="132"/>
      <c r="H27" s="132"/>
      <c r="I27" s="132"/>
      <c r="J27" s="132"/>
    </row>
    <row r="28" ht="15.75" customHeight="1">
      <c r="A28" s="142"/>
      <c r="B28" s="137" t="s">
        <v>296</v>
      </c>
      <c r="C28" s="137">
        <v>1.1000000000000014</v>
      </c>
      <c r="D28" s="139"/>
      <c r="E28" s="132"/>
      <c r="F28" s="141"/>
      <c r="G28" s="132"/>
      <c r="H28" s="141"/>
      <c r="I28" s="132"/>
      <c r="J28" s="141"/>
    </row>
    <row r="29" ht="15.75" customHeight="1">
      <c r="A29" s="143"/>
      <c r="B29" s="144" t="s">
        <v>310</v>
      </c>
      <c r="C29" s="144">
        <v>0.9000000000000057</v>
      </c>
      <c r="D29" s="145"/>
      <c r="E29" s="132"/>
      <c r="F29" s="141"/>
      <c r="G29" s="132"/>
      <c r="H29" s="141"/>
      <c r="I29" s="132"/>
      <c r="J29" s="141"/>
    </row>
    <row r="30" ht="15.75" customHeight="1">
      <c r="A30" s="146" t="s">
        <v>327</v>
      </c>
      <c r="B30" s="147" t="s">
        <v>101</v>
      </c>
      <c r="C30" s="148">
        <v>-1.5999999999999943</v>
      </c>
      <c r="D30" s="149">
        <v>45910.0</v>
      </c>
      <c r="E30" s="141"/>
      <c r="G30" s="132"/>
      <c r="I30" s="132"/>
    </row>
    <row r="31" ht="15.75" customHeight="1">
      <c r="A31" s="142"/>
      <c r="B31" s="150" t="s">
        <v>114</v>
      </c>
      <c r="C31" s="151">
        <v>-1.0</v>
      </c>
      <c r="D31" s="139"/>
      <c r="E31" s="132"/>
      <c r="F31" s="132"/>
      <c r="G31" s="132"/>
      <c r="H31" s="132"/>
      <c r="I31" s="132"/>
      <c r="J31" s="132"/>
    </row>
    <row r="32" ht="15.75" customHeight="1">
      <c r="A32" s="140"/>
      <c r="B32" s="152" t="s">
        <v>139</v>
      </c>
      <c r="C32" s="153">
        <v>-1.0</v>
      </c>
      <c r="D32" s="139"/>
      <c r="E32" s="132"/>
      <c r="F32" s="132"/>
      <c r="G32" s="132"/>
      <c r="H32" s="132"/>
      <c r="I32" s="132"/>
      <c r="J32" s="132"/>
    </row>
    <row r="33" ht="15.75" customHeight="1">
      <c r="A33" s="154" t="s">
        <v>324</v>
      </c>
      <c r="B33" s="152" t="s">
        <v>153</v>
      </c>
      <c r="C33" s="137">
        <v>-1.0</v>
      </c>
      <c r="D33" s="139"/>
      <c r="E33" s="132"/>
      <c r="F33" s="132"/>
      <c r="G33" s="132"/>
      <c r="H33" s="132"/>
      <c r="I33" s="132"/>
      <c r="J33" s="132"/>
    </row>
    <row r="34" ht="15.75" customHeight="1">
      <c r="A34" s="142"/>
      <c r="B34" s="152" t="s">
        <v>175</v>
      </c>
      <c r="C34" s="153">
        <v>1.1999999999999886</v>
      </c>
      <c r="D34" s="139"/>
      <c r="E34" s="132"/>
      <c r="F34" s="132"/>
      <c r="G34" s="132"/>
      <c r="H34" s="132"/>
      <c r="I34" s="132"/>
      <c r="J34" s="132"/>
    </row>
    <row r="35" ht="15.75" customHeight="1">
      <c r="A35" s="142"/>
      <c r="B35" s="152" t="s">
        <v>185</v>
      </c>
      <c r="C35" s="153">
        <v>1.1000000000000085</v>
      </c>
      <c r="D35" s="139"/>
      <c r="E35" s="132"/>
      <c r="F35" s="132"/>
      <c r="G35" s="132"/>
      <c r="H35" s="132"/>
      <c r="I35" s="132"/>
      <c r="J35" s="132"/>
    </row>
    <row r="36" ht="15.75" customHeight="1">
      <c r="A36" s="142"/>
      <c r="B36" s="152" t="s">
        <v>191</v>
      </c>
      <c r="C36" s="153">
        <v>-1.9000000000000057</v>
      </c>
      <c r="D36" s="139"/>
      <c r="E36" s="132"/>
      <c r="F36" s="132"/>
      <c r="G36" s="132"/>
      <c r="H36" s="132"/>
      <c r="I36" s="132"/>
      <c r="J36" s="132"/>
    </row>
    <row r="37" ht="15.75" customHeight="1">
      <c r="A37" s="140"/>
      <c r="B37" s="155" t="s">
        <v>205</v>
      </c>
      <c r="C37" s="137">
        <v>-1.2000000000000028</v>
      </c>
      <c r="D37" s="139"/>
      <c r="E37" s="132"/>
      <c r="F37" s="141"/>
      <c r="G37" s="132"/>
      <c r="H37" s="141"/>
      <c r="I37" s="132"/>
      <c r="J37" s="141"/>
    </row>
    <row r="38" ht="15.75" customHeight="1">
      <c r="A38" s="154" t="s">
        <v>328</v>
      </c>
      <c r="B38" s="150" t="s">
        <v>212</v>
      </c>
      <c r="C38" s="156">
        <v>1.3</v>
      </c>
      <c r="D38" s="139"/>
      <c r="E38" s="132"/>
      <c r="F38" s="141"/>
      <c r="G38" s="132"/>
      <c r="H38" s="141"/>
      <c r="I38" s="132"/>
      <c r="J38" s="141"/>
    </row>
    <row r="39" ht="15.75" customHeight="1">
      <c r="A39" s="142"/>
      <c r="B39" s="157" t="s">
        <v>224</v>
      </c>
      <c r="C39" s="137">
        <v>-1.5</v>
      </c>
      <c r="D39" s="139"/>
      <c r="E39" s="132"/>
      <c r="F39" s="141"/>
      <c r="G39" s="132"/>
      <c r="H39" s="141"/>
      <c r="I39" s="132"/>
      <c r="J39" s="141"/>
    </row>
    <row r="40" ht="15.75" customHeight="1">
      <c r="A40" s="142"/>
      <c r="B40" s="150" t="s">
        <v>227</v>
      </c>
      <c r="C40" s="156">
        <v>-1.1</v>
      </c>
      <c r="D40" s="139"/>
      <c r="E40" s="132"/>
      <c r="G40" s="132"/>
      <c r="I40" s="132"/>
    </row>
    <row r="41" ht="15.75" customHeight="1">
      <c r="A41" s="142"/>
      <c r="B41" s="157" t="s">
        <v>242</v>
      </c>
      <c r="C41" s="137">
        <v>1.0</v>
      </c>
      <c r="D41" s="139"/>
      <c r="E41" s="132"/>
      <c r="F41" s="132"/>
      <c r="G41" s="132"/>
      <c r="H41" s="132"/>
      <c r="I41" s="132"/>
      <c r="J41" s="132"/>
    </row>
    <row r="42" ht="15.75" customHeight="1">
      <c r="A42" s="142"/>
      <c r="B42" s="157" t="s">
        <v>244</v>
      </c>
      <c r="C42" s="137">
        <v>-1.0</v>
      </c>
      <c r="D42" s="139"/>
      <c r="E42" s="132"/>
      <c r="F42" s="132"/>
      <c r="G42" s="132"/>
      <c r="H42" s="132"/>
      <c r="I42" s="132"/>
      <c r="J42" s="132"/>
    </row>
    <row r="43" ht="15.75" customHeight="1">
      <c r="A43" s="142"/>
      <c r="B43" s="158" t="s">
        <v>246</v>
      </c>
      <c r="C43" s="159">
        <v>1.2</v>
      </c>
      <c r="D43" s="139"/>
      <c r="E43" s="132"/>
      <c r="F43" s="132"/>
      <c r="G43" s="132"/>
      <c r="H43" s="132"/>
      <c r="I43" s="132"/>
      <c r="J43" s="132"/>
    </row>
    <row r="44" ht="15.75" customHeight="1">
      <c r="A44" s="140"/>
      <c r="B44" s="160" t="s">
        <v>254</v>
      </c>
      <c r="C44" s="161">
        <v>-1.3</v>
      </c>
      <c r="D44" s="139"/>
      <c r="E44" s="132"/>
      <c r="F44" s="141"/>
      <c r="G44" s="132"/>
      <c r="H44" s="141"/>
      <c r="I44" s="132"/>
      <c r="J44" s="141"/>
    </row>
    <row r="45" ht="15.75" customHeight="1">
      <c r="A45" s="162" t="s">
        <v>329</v>
      </c>
      <c r="B45" s="157" t="s">
        <v>264</v>
      </c>
      <c r="C45" s="161">
        <v>-1.1</v>
      </c>
      <c r="D45" s="139"/>
      <c r="E45" s="132"/>
      <c r="F45" s="141"/>
      <c r="G45" s="132"/>
      <c r="H45" s="141"/>
      <c r="I45" s="132"/>
      <c r="J45" s="141"/>
    </row>
    <row r="46" ht="15.75" customHeight="1">
      <c r="A46" s="142"/>
      <c r="B46" s="150" t="s">
        <v>270</v>
      </c>
      <c r="C46" s="163">
        <v>1.0</v>
      </c>
      <c r="D46" s="139"/>
      <c r="E46" s="132"/>
      <c r="G46" s="132"/>
      <c r="I46" s="132"/>
    </row>
    <row r="47" ht="15.75" customHeight="1">
      <c r="A47" s="142"/>
      <c r="B47" s="157" t="s">
        <v>281</v>
      </c>
      <c r="C47" s="161">
        <v>1.2</v>
      </c>
      <c r="D47" s="139"/>
      <c r="E47" s="132"/>
      <c r="F47" s="132"/>
      <c r="G47" s="132"/>
      <c r="H47" s="132"/>
      <c r="I47" s="132"/>
      <c r="J47" s="132"/>
    </row>
    <row r="48" ht="15.75" customHeight="1">
      <c r="A48" s="142"/>
      <c r="B48" s="157" t="s">
        <v>287</v>
      </c>
      <c r="C48" s="161">
        <v>1.4</v>
      </c>
      <c r="D48" s="139"/>
      <c r="E48" s="132"/>
      <c r="F48" s="132"/>
      <c r="G48" s="132"/>
      <c r="H48" s="132"/>
      <c r="I48" s="132"/>
      <c r="J48" s="132"/>
    </row>
    <row r="49" ht="15.75" customHeight="1">
      <c r="A49" s="142"/>
      <c r="B49" s="157" t="s">
        <v>301</v>
      </c>
      <c r="C49" s="161">
        <v>1.0</v>
      </c>
      <c r="D49" s="139"/>
      <c r="E49" s="132"/>
      <c r="F49" s="132"/>
      <c r="G49" s="132"/>
      <c r="H49" s="132"/>
      <c r="I49" s="132"/>
      <c r="J49" s="132"/>
    </row>
    <row r="50" ht="15.75" customHeight="1">
      <c r="A50" s="142"/>
      <c r="B50" s="157" t="s">
        <v>305</v>
      </c>
      <c r="C50" s="161">
        <v>-1.1</v>
      </c>
      <c r="D50" s="139"/>
      <c r="E50" s="132"/>
      <c r="F50" s="141"/>
      <c r="G50" s="132"/>
      <c r="H50" s="141"/>
      <c r="I50" s="132"/>
      <c r="J50" s="141"/>
    </row>
    <row r="51" ht="15.75" customHeight="1">
      <c r="A51" s="143"/>
      <c r="B51" s="164" t="s">
        <v>306</v>
      </c>
      <c r="C51" s="165">
        <v>-1.4</v>
      </c>
      <c r="D51" s="145"/>
      <c r="E51" s="132"/>
      <c r="G51" s="132"/>
      <c r="I51" s="132"/>
    </row>
    <row r="52" ht="15.75" customHeight="1">
      <c r="A52" s="166" t="s">
        <v>326</v>
      </c>
      <c r="B52" s="167" t="s">
        <v>285</v>
      </c>
      <c r="C52" s="167">
        <v>1.0999999999999943</v>
      </c>
      <c r="D52" s="135">
        <v>45917.0</v>
      </c>
      <c r="E52" s="132"/>
      <c r="F52" s="132"/>
      <c r="G52" s="132"/>
      <c r="H52" s="132"/>
      <c r="I52" s="132"/>
      <c r="J52" s="132"/>
    </row>
    <row r="53" ht="15.75" customHeight="1">
      <c r="A53" s="154" t="s">
        <v>328</v>
      </c>
      <c r="B53" s="168" t="s">
        <v>213</v>
      </c>
      <c r="C53" s="168">
        <v>-1.0999999999999943</v>
      </c>
      <c r="D53" s="139"/>
      <c r="E53" s="169" t="s">
        <v>330</v>
      </c>
      <c r="F53" s="132"/>
      <c r="G53" s="132"/>
      <c r="H53" s="132"/>
      <c r="I53" s="132"/>
      <c r="J53" s="132"/>
    </row>
    <row r="54" ht="15.75" customHeight="1">
      <c r="A54" s="142"/>
      <c r="B54" s="168" t="s">
        <v>215</v>
      </c>
      <c r="C54" s="168">
        <v>-1.0</v>
      </c>
      <c r="D54" s="139"/>
      <c r="E54" s="169" t="s">
        <v>331</v>
      </c>
      <c r="F54" s="132"/>
      <c r="G54" s="132"/>
      <c r="H54" s="132"/>
      <c r="I54" s="132"/>
      <c r="J54" s="132"/>
    </row>
    <row r="55" ht="15.75" customHeight="1">
      <c r="A55" s="142"/>
      <c r="B55" s="170" t="s">
        <v>216</v>
      </c>
      <c r="C55" s="170">
        <v>2.0</v>
      </c>
      <c r="D55" s="139"/>
      <c r="E55" s="132"/>
      <c r="F55" s="141"/>
      <c r="G55" s="132"/>
      <c r="H55" s="141"/>
      <c r="I55" s="132"/>
      <c r="J55" s="141"/>
    </row>
    <row r="56" ht="15.75" customHeight="1">
      <c r="A56" s="142"/>
      <c r="B56" s="170" t="s">
        <v>217</v>
      </c>
      <c r="C56" s="170">
        <v>1.6000000000000085</v>
      </c>
      <c r="D56" s="139"/>
      <c r="E56" s="169" t="s">
        <v>332</v>
      </c>
      <c r="F56" s="141"/>
      <c r="G56" s="132"/>
      <c r="H56" s="141"/>
      <c r="I56" s="132"/>
      <c r="J56" s="141"/>
    </row>
    <row r="57" ht="15.75" customHeight="1">
      <c r="A57" s="142"/>
      <c r="B57" s="83" t="s">
        <v>227</v>
      </c>
      <c r="C57" s="170">
        <v>-1.3999999999999986</v>
      </c>
      <c r="D57" s="139"/>
      <c r="E57" s="169" t="s">
        <v>333</v>
      </c>
      <c r="G57" s="132"/>
      <c r="I57" s="132"/>
    </row>
    <row r="58" ht="15.75" customHeight="1">
      <c r="A58" s="142"/>
      <c r="B58" s="170" t="s">
        <v>229</v>
      </c>
      <c r="C58" s="170">
        <v>1.2000000000000028</v>
      </c>
      <c r="D58" s="139"/>
      <c r="E58" s="132"/>
      <c r="F58" s="132"/>
      <c r="G58" s="132"/>
      <c r="H58" s="132"/>
      <c r="I58" s="132"/>
      <c r="J58" s="132"/>
    </row>
    <row r="59" ht="15.75" customHeight="1">
      <c r="A59" s="142"/>
      <c r="B59" s="170" t="s">
        <v>230</v>
      </c>
      <c r="C59" s="170">
        <v>-1.2000000000000028</v>
      </c>
      <c r="D59" s="139"/>
      <c r="E59" s="132"/>
      <c r="F59" s="132"/>
      <c r="G59" s="132"/>
      <c r="H59" s="132"/>
      <c r="I59" s="132"/>
      <c r="J59" s="132"/>
    </row>
    <row r="60" ht="15.75" customHeight="1">
      <c r="A60" s="142"/>
      <c r="B60" s="170" t="s">
        <v>239</v>
      </c>
      <c r="C60" s="170">
        <v>1.0</v>
      </c>
      <c r="D60" s="139"/>
      <c r="E60" s="169" t="s">
        <v>334</v>
      </c>
      <c r="F60" s="132"/>
      <c r="G60" s="132"/>
      <c r="H60" s="132"/>
      <c r="I60" s="132"/>
      <c r="J60" s="132"/>
    </row>
    <row r="61" ht="15.75" customHeight="1">
      <c r="A61" s="140"/>
      <c r="B61" s="170" t="s">
        <v>242</v>
      </c>
      <c r="C61" s="170">
        <v>0.8999999999999986</v>
      </c>
      <c r="D61" s="139"/>
      <c r="E61" s="169" t="s">
        <v>335</v>
      </c>
      <c r="F61" s="141"/>
      <c r="G61" s="132"/>
      <c r="H61" s="141"/>
      <c r="I61" s="132"/>
      <c r="J61" s="141"/>
    </row>
    <row r="62" ht="15.75" customHeight="1">
      <c r="A62" s="136" t="s">
        <v>324</v>
      </c>
      <c r="B62" s="171" t="s">
        <v>169</v>
      </c>
      <c r="C62" s="171">
        <v>-4.1000000000000085</v>
      </c>
      <c r="D62" s="139"/>
      <c r="E62" s="132"/>
      <c r="G62" s="132"/>
      <c r="I62" s="132"/>
    </row>
    <row r="63" ht="15.75" customHeight="1">
      <c r="A63" s="142"/>
      <c r="B63" s="170" t="s">
        <v>175</v>
      </c>
      <c r="C63" s="170">
        <v>1.5999999999999943</v>
      </c>
      <c r="D63" s="139"/>
      <c r="E63" s="169" t="s">
        <v>336</v>
      </c>
      <c r="F63" s="132"/>
      <c r="G63" s="132"/>
      <c r="H63" s="132"/>
      <c r="I63" s="132"/>
      <c r="J63" s="132"/>
    </row>
    <row r="64" ht="15.75" customHeight="1">
      <c r="A64" s="142"/>
      <c r="B64" s="171" t="s">
        <v>186</v>
      </c>
      <c r="C64" s="171">
        <v>-2.1999999999999886</v>
      </c>
      <c r="D64" s="139"/>
      <c r="E64" s="132"/>
      <c r="F64" s="132"/>
      <c r="G64" s="132"/>
      <c r="H64" s="132"/>
      <c r="I64" s="132"/>
      <c r="J64" s="132"/>
    </row>
    <row r="65" ht="15.75" customHeight="1">
      <c r="A65" s="142"/>
      <c r="B65" s="170" t="s">
        <v>191</v>
      </c>
      <c r="C65" s="170">
        <v>-0.9000000000000057</v>
      </c>
      <c r="D65" s="139"/>
      <c r="E65" s="132"/>
      <c r="F65" s="132"/>
      <c r="G65" s="132"/>
      <c r="H65" s="132"/>
      <c r="I65" s="132"/>
      <c r="J65" s="132"/>
    </row>
    <row r="66" ht="15.75" customHeight="1">
      <c r="A66" s="142"/>
      <c r="B66" s="170" t="s">
        <v>196</v>
      </c>
      <c r="C66" s="170">
        <v>0.7999999999999972</v>
      </c>
      <c r="D66" s="139"/>
      <c r="E66" s="132"/>
      <c r="F66" s="141"/>
      <c r="G66" s="132"/>
      <c r="H66" s="141"/>
      <c r="I66" s="132"/>
      <c r="J66" s="141"/>
    </row>
    <row r="67" ht="15.75" customHeight="1">
      <c r="A67" s="136" t="s">
        <v>327</v>
      </c>
      <c r="B67" s="170" t="s">
        <v>104</v>
      </c>
      <c r="C67" s="170">
        <v>-0.8999999999999915</v>
      </c>
      <c r="D67" s="139"/>
      <c r="E67" s="132"/>
      <c r="F67" s="141"/>
      <c r="G67" s="132"/>
      <c r="H67" s="141"/>
      <c r="I67" s="132"/>
      <c r="J67" s="141"/>
    </row>
    <row r="68" ht="15.75" customHeight="1">
      <c r="A68" s="140"/>
      <c r="B68" s="170" t="s">
        <v>139</v>
      </c>
      <c r="C68" s="170">
        <v>-1.4000000000000057</v>
      </c>
      <c r="D68" s="139"/>
      <c r="E68" s="169" t="s">
        <v>336</v>
      </c>
      <c r="G68" s="132"/>
      <c r="I68" s="132"/>
    </row>
    <row r="69" ht="15.75" customHeight="1">
      <c r="A69" s="136" t="s">
        <v>337</v>
      </c>
      <c r="B69" s="170" t="s">
        <v>46</v>
      </c>
      <c r="C69" s="170">
        <v>-1.5</v>
      </c>
      <c r="D69" s="139"/>
      <c r="E69" s="132"/>
      <c r="F69" s="132"/>
      <c r="G69" s="132"/>
      <c r="H69" s="132"/>
      <c r="I69" s="132"/>
      <c r="J69" s="132"/>
    </row>
    <row r="70" ht="15.75" customHeight="1">
      <c r="A70" s="142"/>
      <c r="B70" s="170" t="s">
        <v>62</v>
      </c>
      <c r="C70" s="170">
        <v>-0.8000000000000114</v>
      </c>
      <c r="D70" s="139"/>
      <c r="E70" s="132"/>
      <c r="F70" s="132"/>
      <c r="G70" s="132"/>
      <c r="H70" s="132"/>
      <c r="I70" s="132"/>
      <c r="J70" s="132"/>
    </row>
    <row r="71" ht="15.75" customHeight="1">
      <c r="A71" s="143"/>
      <c r="B71" s="172" t="s">
        <v>77</v>
      </c>
      <c r="C71" s="172">
        <v>0.8000000000000114</v>
      </c>
      <c r="D71" s="145"/>
      <c r="E71" s="132"/>
      <c r="F71" s="132"/>
      <c r="G71" s="132"/>
      <c r="H71" s="132"/>
      <c r="I71" s="132"/>
      <c r="J71" s="132"/>
    </row>
    <row r="72" ht="15.75" customHeight="1">
      <c r="A72" s="173"/>
      <c r="B72" s="173"/>
      <c r="C72" s="173"/>
      <c r="D72" s="174"/>
      <c r="E72" s="132"/>
      <c r="F72" s="141"/>
      <c r="G72" s="132"/>
      <c r="H72" s="141"/>
      <c r="I72" s="132"/>
      <c r="J72" s="141"/>
    </row>
    <row r="73" ht="15.75" customHeight="1">
      <c r="A73" s="13"/>
      <c r="B73" s="13"/>
      <c r="C73" s="13"/>
      <c r="D73" s="174"/>
      <c r="E73" s="132"/>
      <c r="G73" s="132"/>
      <c r="I73" s="132"/>
    </row>
    <row r="74" ht="15.75" customHeight="1">
      <c r="A74" s="13"/>
      <c r="B74" s="13"/>
      <c r="C74" s="13"/>
      <c r="D74" s="174"/>
      <c r="E74" s="132"/>
      <c r="F74" s="132"/>
      <c r="G74" s="132"/>
      <c r="H74" s="132"/>
      <c r="I74" s="132"/>
      <c r="J74" s="132"/>
    </row>
    <row r="75" ht="15.75" customHeight="1">
      <c r="A75" s="13"/>
      <c r="B75" s="13"/>
      <c r="C75" s="13"/>
      <c r="D75" s="174"/>
      <c r="E75" s="132"/>
      <c r="F75" s="132"/>
      <c r="G75" s="132"/>
      <c r="H75" s="132"/>
      <c r="I75" s="132"/>
      <c r="J75" s="132"/>
    </row>
    <row r="76" ht="15.75" customHeight="1">
      <c r="A76" s="13"/>
      <c r="B76" s="13"/>
      <c r="C76" s="13"/>
      <c r="D76" s="174"/>
      <c r="E76" s="132"/>
      <c r="F76" s="132"/>
      <c r="G76" s="132"/>
      <c r="H76" s="132"/>
      <c r="I76" s="132"/>
      <c r="J76" s="132"/>
    </row>
    <row r="77" ht="15.75" customHeight="1">
      <c r="A77" s="13"/>
      <c r="B77" s="13"/>
      <c r="C77" s="13"/>
      <c r="D77" s="174"/>
      <c r="E77" s="132"/>
      <c r="F77" s="141"/>
      <c r="G77" s="132"/>
      <c r="H77" s="141"/>
      <c r="I77" s="132"/>
      <c r="J77" s="141"/>
    </row>
    <row r="78" ht="15.75" customHeight="1">
      <c r="A78" s="13"/>
      <c r="B78" s="13"/>
      <c r="C78" s="13"/>
      <c r="D78" s="174"/>
      <c r="E78" s="132"/>
      <c r="F78" s="141"/>
      <c r="G78" s="132"/>
      <c r="H78" s="141"/>
      <c r="I78" s="132"/>
      <c r="J78" s="141"/>
    </row>
    <row r="79" ht="15.75" customHeight="1">
      <c r="A79" s="13"/>
      <c r="B79" s="13"/>
      <c r="C79" s="13"/>
      <c r="D79" s="175"/>
      <c r="E79" s="132"/>
      <c r="G79" s="132"/>
      <c r="I79" s="132"/>
    </row>
    <row r="80" ht="15.75" customHeight="1">
      <c r="A80" s="13"/>
      <c r="B80" s="13"/>
      <c r="C80" s="13"/>
      <c r="D80" s="13"/>
      <c r="E80" s="132"/>
      <c r="F80" s="132"/>
      <c r="G80" s="132"/>
      <c r="H80" s="132"/>
      <c r="I80" s="132"/>
      <c r="J80" s="132"/>
    </row>
    <row r="81" ht="15.75" customHeight="1">
      <c r="A81" s="13"/>
      <c r="B81" s="13"/>
      <c r="C81" s="13"/>
      <c r="D81" s="13"/>
      <c r="E81" s="132"/>
      <c r="F81" s="132"/>
      <c r="G81" s="132"/>
      <c r="H81" s="132"/>
      <c r="I81" s="132"/>
      <c r="J81" s="132"/>
    </row>
    <row r="82" ht="15.75" customHeight="1">
      <c r="A82" s="13"/>
      <c r="B82" s="13"/>
      <c r="C82" s="13"/>
      <c r="D82" s="13"/>
      <c r="E82" s="132"/>
      <c r="F82" s="132"/>
      <c r="G82" s="132"/>
      <c r="H82" s="132"/>
      <c r="I82" s="132"/>
      <c r="J82" s="132"/>
    </row>
    <row r="83" ht="15.75" customHeight="1">
      <c r="A83" s="13"/>
      <c r="B83" s="13"/>
      <c r="C83" s="13"/>
      <c r="D83" s="13"/>
    </row>
    <row r="84" ht="15.75" customHeight="1">
      <c r="A84" s="13"/>
      <c r="B84" s="13"/>
      <c r="C84" s="13"/>
      <c r="D84" s="13"/>
    </row>
    <row r="85" ht="15.75" customHeight="1">
      <c r="A85" s="13"/>
      <c r="B85" s="13"/>
      <c r="C85" s="13"/>
      <c r="D85" s="13"/>
    </row>
    <row r="86" ht="15.75" customHeight="1">
      <c r="A86" s="13"/>
      <c r="B86" s="13"/>
      <c r="C86" s="13"/>
      <c r="D86" s="13"/>
    </row>
    <row r="87" ht="15.75" customHeight="1">
      <c r="A87" s="13"/>
      <c r="B87" s="13"/>
      <c r="C87" s="13"/>
      <c r="D87" s="13"/>
    </row>
    <row r="88" ht="15.75" customHeight="1">
      <c r="A88" s="13"/>
      <c r="B88" s="13"/>
      <c r="C88" s="13"/>
      <c r="D88" s="13"/>
    </row>
    <row r="89" ht="15.75" customHeight="1">
      <c r="A89" s="13"/>
      <c r="B89" s="13"/>
      <c r="C89" s="13"/>
      <c r="D89" s="13"/>
    </row>
    <row r="90" ht="15.75" customHeight="1">
      <c r="A90" s="13"/>
      <c r="B90" s="13"/>
      <c r="C90" s="13"/>
      <c r="D90" s="13"/>
    </row>
    <row r="91" ht="15.75" customHeight="1">
      <c r="A91" s="13"/>
      <c r="B91" s="13"/>
      <c r="C91" s="13"/>
      <c r="D91" s="13"/>
    </row>
    <row r="92" ht="15.75" customHeight="1">
      <c r="A92" s="13"/>
      <c r="B92" s="13"/>
      <c r="C92" s="13"/>
      <c r="D92" s="13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A7:A9"/>
    <mergeCell ref="E13:F13"/>
    <mergeCell ref="C1:D1"/>
    <mergeCell ref="G1:H1"/>
    <mergeCell ref="I1:J1"/>
    <mergeCell ref="D2:D29"/>
    <mergeCell ref="A3:A4"/>
    <mergeCell ref="A5:A6"/>
    <mergeCell ref="I18:J18"/>
    <mergeCell ref="E51:F51"/>
    <mergeCell ref="G51:H51"/>
    <mergeCell ref="E40:F40"/>
    <mergeCell ref="E57:F57"/>
    <mergeCell ref="G57:H57"/>
    <mergeCell ref="E62:F62"/>
    <mergeCell ref="G62:H62"/>
    <mergeCell ref="E68:F68"/>
    <mergeCell ref="G68:H68"/>
    <mergeCell ref="E73:F73"/>
    <mergeCell ref="G73:H73"/>
    <mergeCell ref="E79:F79"/>
    <mergeCell ref="G79:H79"/>
    <mergeCell ref="E24:F24"/>
    <mergeCell ref="G24:H24"/>
    <mergeCell ref="D30:D51"/>
    <mergeCell ref="E30:F30"/>
    <mergeCell ref="G30:H30"/>
    <mergeCell ref="G40:H40"/>
    <mergeCell ref="D52:D71"/>
    <mergeCell ref="I73:J73"/>
    <mergeCell ref="I79:J79"/>
    <mergeCell ref="I24:J24"/>
    <mergeCell ref="I30:J30"/>
    <mergeCell ref="I40:J40"/>
    <mergeCell ref="I51:J51"/>
    <mergeCell ref="I57:J57"/>
    <mergeCell ref="I62:J62"/>
    <mergeCell ref="I68:J68"/>
    <mergeCell ref="E1:F1"/>
    <mergeCell ref="E7:F7"/>
    <mergeCell ref="G7:H7"/>
    <mergeCell ref="I7:J7"/>
    <mergeCell ref="G13:H13"/>
    <mergeCell ref="I13:J13"/>
    <mergeCell ref="E18:F18"/>
    <mergeCell ref="G18:H18"/>
    <mergeCell ref="E46:F46"/>
    <mergeCell ref="G46:H46"/>
    <mergeCell ref="I46:J46"/>
    <mergeCell ref="A62:A66"/>
    <mergeCell ref="A67:A68"/>
    <mergeCell ref="A69:A71"/>
    <mergeCell ref="A10:A23"/>
    <mergeCell ref="A24:A29"/>
    <mergeCell ref="A30:A32"/>
    <mergeCell ref="A33:A37"/>
    <mergeCell ref="A38:A44"/>
    <mergeCell ref="A45:A51"/>
    <mergeCell ref="A53:A6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1" t="s">
        <v>338</v>
      </c>
      <c r="C1" s="31" t="s">
        <v>339</v>
      </c>
      <c r="D1" s="31" t="s">
        <v>340</v>
      </c>
    </row>
    <row r="2" ht="15.75" customHeight="1">
      <c r="A2" s="31">
        <v>94.7</v>
      </c>
      <c r="C2" s="31" t="s">
        <v>341</v>
      </c>
      <c r="G2" s="176">
        <v>45917.0</v>
      </c>
    </row>
    <row r="3" ht="15.75" customHeight="1">
      <c r="A3" s="31">
        <v>190.3</v>
      </c>
      <c r="C3" s="31">
        <v>84.5</v>
      </c>
    </row>
    <row r="4" ht="15.75" customHeight="1">
      <c r="A4" s="31">
        <v>100.0</v>
      </c>
      <c r="C4" s="31">
        <v>8.5</v>
      </c>
      <c r="D4" s="31">
        <v>11.0</v>
      </c>
    </row>
    <row r="5" ht="15.75" customHeight="1">
      <c r="C5" s="31">
        <v>12.0</v>
      </c>
      <c r="D5" s="31">
        <v>14.0</v>
      </c>
    </row>
    <row r="6" ht="15.75" customHeight="1">
      <c r="A6" s="31">
        <v>44.5</v>
      </c>
      <c r="C6" s="31">
        <v>13.0</v>
      </c>
      <c r="D6" s="31">
        <v>12.0</v>
      </c>
    </row>
    <row r="7" ht="15.75" customHeight="1">
      <c r="A7" s="31">
        <v>32.5</v>
      </c>
      <c r="C7" s="31">
        <v>18.0</v>
      </c>
      <c r="D7" s="31">
        <v>21.0</v>
      </c>
    </row>
    <row r="8" ht="15.75" customHeight="1">
      <c r="A8" s="31">
        <v>18.0</v>
      </c>
      <c r="C8" s="31">
        <v>6.0</v>
      </c>
      <c r="D8" s="31">
        <v>13.0</v>
      </c>
    </row>
    <row r="9" ht="15.75" customHeight="1">
      <c r="A9" s="31">
        <v>29.4</v>
      </c>
      <c r="C9" s="31">
        <v>4.0</v>
      </c>
      <c r="D9" s="31">
        <v>9.0</v>
      </c>
    </row>
    <row r="10" ht="15.75" customHeight="1">
      <c r="A10" s="31">
        <v>8.2</v>
      </c>
      <c r="C10" s="31">
        <f>SUM(C4:C9)</f>
        <v>61.5</v>
      </c>
      <c r="G10" s="177" t="s">
        <v>342</v>
      </c>
      <c r="H10" s="177" t="s">
        <v>343</v>
      </c>
      <c r="I10" s="177" t="s">
        <v>344</v>
      </c>
    </row>
    <row r="11" ht="15.75" customHeight="1">
      <c r="A11" s="31">
        <v>11.7</v>
      </c>
      <c r="G11" s="177" t="s">
        <v>323</v>
      </c>
      <c r="H11" s="177" t="s">
        <v>323</v>
      </c>
      <c r="I11" s="177" t="s">
        <v>324</v>
      </c>
    </row>
    <row r="12" ht="15.75" customHeight="1">
      <c r="G12" s="177" t="s">
        <v>345</v>
      </c>
      <c r="H12" s="177" t="s">
        <v>346</v>
      </c>
      <c r="I12" s="177" t="s">
        <v>347</v>
      </c>
    </row>
    <row r="13" ht="15.75" customHeight="1">
      <c r="A13" s="31">
        <v>57.5</v>
      </c>
    </row>
    <row r="14" ht="15.75" customHeight="1">
      <c r="A14" s="31">
        <v>31.4</v>
      </c>
    </row>
    <row r="15" ht="15.75" customHeight="1">
      <c r="A15" s="31">
        <v>34.3</v>
      </c>
    </row>
    <row r="16" ht="15.75" customHeight="1">
      <c r="A16" s="31">
        <v>30.4</v>
      </c>
    </row>
    <row r="17" ht="15.75" customHeight="1">
      <c r="A17" s="31">
        <v>105.5</v>
      </c>
    </row>
    <row r="18" ht="15.75" customHeight="1">
      <c r="A18" s="31">
        <v>84.4</v>
      </c>
    </row>
    <row r="19" ht="15.75" customHeight="1">
      <c r="A19" s="31">
        <v>111.8</v>
      </c>
    </row>
    <row r="20" ht="15.75" customHeight="1">
      <c r="A20" s="31">
        <v>62.3</v>
      </c>
    </row>
    <row r="21" ht="15.75" customHeight="1">
      <c r="A21" s="31">
        <v>58.9</v>
      </c>
    </row>
    <row r="22" ht="15.75" customHeight="1">
      <c r="A22" s="31">
        <v>42.0</v>
      </c>
    </row>
    <row r="23" ht="15.75" customHeight="1"/>
    <row r="24" ht="15.75" customHeight="1">
      <c r="A24" s="31">
        <v>12.0</v>
      </c>
    </row>
    <row r="25" ht="15.75" customHeight="1">
      <c r="A25" s="31">
        <v>10.0</v>
      </c>
    </row>
    <row r="26" ht="15.75" customHeight="1">
      <c r="A26" s="31">
        <v>9.5</v>
      </c>
    </row>
    <row r="27" ht="15.75" customHeight="1">
      <c r="A27" s="31">
        <v>14.0</v>
      </c>
    </row>
    <row r="28" ht="15.75" customHeight="1">
      <c r="A28" s="31">
        <v>9.0</v>
      </c>
    </row>
    <row r="29" ht="15.75" customHeight="1">
      <c r="A29" s="31">
        <v>6.0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12.63"/>
    <col customWidth="1" min="3" max="3" width="25.13"/>
    <col customWidth="1" min="4" max="4" width="12.63"/>
    <col customWidth="1" min="5" max="5" width="20.75"/>
    <col customWidth="1" min="6" max="6" width="12.63"/>
    <col customWidth="1" min="7" max="7" width="5.88"/>
    <col customWidth="1" min="8" max="8" width="20.0"/>
    <col customWidth="1" min="11" max="11" width="16.88"/>
    <col customWidth="1" min="12" max="12" width="42.38"/>
  </cols>
  <sheetData>
    <row r="1" ht="15.75" customHeight="1">
      <c r="A1" s="178" t="s">
        <v>348</v>
      </c>
      <c r="G1" s="179"/>
      <c r="H1" s="179"/>
      <c r="I1" s="179"/>
      <c r="J1" s="179"/>
      <c r="K1" s="179"/>
      <c r="L1" s="179"/>
    </row>
    <row r="2" ht="15.75" customHeight="1">
      <c r="A2" s="180" t="s">
        <v>7</v>
      </c>
      <c r="B2" s="181"/>
      <c r="C2" s="182" t="s">
        <v>14</v>
      </c>
      <c r="D2" s="181"/>
      <c r="E2" s="183" t="s">
        <v>17</v>
      </c>
      <c r="F2" s="181"/>
      <c r="G2" s="179"/>
      <c r="H2" s="179"/>
      <c r="I2" s="179"/>
      <c r="J2" s="179"/>
      <c r="K2" s="179"/>
      <c r="L2" s="179"/>
    </row>
    <row r="3" ht="15.75" customHeight="1">
      <c r="A3" s="73" t="s">
        <v>5</v>
      </c>
      <c r="B3" s="184">
        <f>'4TA'!AE2</f>
        <v>-0.2</v>
      </c>
      <c r="C3" s="73" t="s">
        <v>13</v>
      </c>
      <c r="D3" s="184">
        <f>'4TA'!AE6</f>
        <v>0</v>
      </c>
      <c r="E3" s="22" t="s">
        <v>15</v>
      </c>
      <c r="F3" s="185">
        <f>'4TA'!AE7</f>
        <v>-0.1</v>
      </c>
      <c r="G3" s="179"/>
      <c r="H3" s="179"/>
      <c r="I3" s="179"/>
      <c r="J3" s="179"/>
      <c r="K3" s="179"/>
      <c r="L3" s="179"/>
    </row>
    <row r="4" ht="15.75" customHeight="1">
      <c r="A4" s="73" t="s">
        <v>20</v>
      </c>
      <c r="B4" s="184">
        <f>'4TA'!AE10</f>
        <v>-0.4</v>
      </c>
      <c r="C4" s="33" t="s">
        <v>18</v>
      </c>
      <c r="D4" s="184">
        <f>'4TA'!AE8</f>
        <v>-0.7</v>
      </c>
      <c r="E4" s="22" t="s">
        <v>27</v>
      </c>
      <c r="F4" s="185">
        <f>'4TA'!AE14</f>
        <v>-0.7</v>
      </c>
      <c r="G4" s="179"/>
      <c r="H4" s="186" t="s">
        <v>349</v>
      </c>
      <c r="I4" s="187"/>
      <c r="J4" s="187"/>
      <c r="K4" s="187"/>
      <c r="L4" s="188"/>
      <c r="N4" s="189" t="s">
        <v>10</v>
      </c>
    </row>
    <row r="5" ht="15.75" customHeight="1">
      <c r="A5" s="73" t="s">
        <v>28</v>
      </c>
      <c r="B5" s="184">
        <f>'4TA'!AE15</f>
        <v>-0.5</v>
      </c>
      <c r="C5" s="73" t="s">
        <v>19</v>
      </c>
      <c r="D5" s="184">
        <f>'4TA'!AE9</f>
        <v>0.1</v>
      </c>
      <c r="E5" s="190"/>
      <c r="F5" s="191"/>
      <c r="G5" s="179"/>
      <c r="H5" s="192" t="s">
        <v>350</v>
      </c>
      <c r="L5" s="193"/>
      <c r="N5" s="189" t="s">
        <v>15</v>
      </c>
    </row>
    <row r="6" ht="15.75" customHeight="1">
      <c r="A6" s="190"/>
      <c r="B6" s="191"/>
      <c r="C6" s="73" t="s">
        <v>29</v>
      </c>
      <c r="D6" s="184">
        <f>'4TA'!AE16</f>
        <v>-0.1</v>
      </c>
      <c r="E6" s="179"/>
      <c r="F6" s="179"/>
      <c r="G6" s="179"/>
      <c r="H6" s="192" t="s">
        <v>351</v>
      </c>
      <c r="L6" s="193"/>
      <c r="N6" s="189" t="s">
        <v>28</v>
      </c>
    </row>
    <row r="7" ht="15.75" customHeight="1">
      <c r="A7" s="179"/>
      <c r="B7" s="179"/>
      <c r="C7" s="73" t="s">
        <v>31</v>
      </c>
      <c r="D7" s="184">
        <f>'4TA'!AE18</f>
        <v>0.5</v>
      </c>
      <c r="E7" s="179"/>
      <c r="F7" s="179"/>
      <c r="G7" s="179"/>
      <c r="H7" s="194" t="s">
        <v>352</v>
      </c>
      <c r="I7" s="195"/>
      <c r="J7" s="195"/>
      <c r="K7" s="195"/>
      <c r="L7" s="196"/>
      <c r="N7" s="189" t="s">
        <v>30</v>
      </c>
    </row>
    <row r="8" ht="15.75" customHeight="1">
      <c r="A8" s="197"/>
      <c r="B8" s="197"/>
      <c r="C8" s="197"/>
      <c r="D8" s="197"/>
      <c r="E8" s="197"/>
      <c r="F8" s="198"/>
      <c r="G8" s="179"/>
      <c r="H8" s="179"/>
      <c r="I8" s="179"/>
      <c r="J8" s="179"/>
      <c r="K8" s="179"/>
      <c r="L8" s="179"/>
      <c r="N8" s="189" t="s">
        <v>32</v>
      </c>
    </row>
    <row r="9" ht="15.75" customHeight="1">
      <c r="A9" s="178" t="s">
        <v>353</v>
      </c>
      <c r="G9" s="179"/>
      <c r="H9" s="186" t="s">
        <v>349</v>
      </c>
      <c r="I9" s="187"/>
      <c r="J9" s="187"/>
      <c r="K9" s="187"/>
      <c r="L9" s="188"/>
    </row>
    <row r="10" ht="15.75" customHeight="1">
      <c r="A10" s="180" t="s">
        <v>7</v>
      </c>
      <c r="B10" s="181"/>
      <c r="C10" s="182" t="s">
        <v>14</v>
      </c>
      <c r="D10" s="181"/>
      <c r="E10" s="183" t="s">
        <v>17</v>
      </c>
      <c r="F10" s="181"/>
      <c r="G10" s="179"/>
      <c r="H10" s="192" t="s">
        <v>350</v>
      </c>
      <c r="L10" s="193"/>
    </row>
    <row r="11" ht="15.75" customHeight="1">
      <c r="A11" s="22" t="s">
        <v>49</v>
      </c>
      <c r="B11" s="184">
        <f>'5TA (07)'!AE8</f>
        <v>0.3</v>
      </c>
      <c r="C11" s="199" t="s">
        <v>42</v>
      </c>
      <c r="D11" s="184">
        <f>'5TA (07)'!AE3</f>
        <v>0.1</v>
      </c>
      <c r="E11" s="22" t="s">
        <v>64</v>
      </c>
      <c r="F11" s="184">
        <f>'5TA (07)'!AE20</f>
        <v>0.5</v>
      </c>
      <c r="G11" s="179"/>
      <c r="H11" s="192" t="s">
        <v>351</v>
      </c>
      <c r="L11" s="193"/>
    </row>
    <row r="12" ht="33.0" customHeight="1">
      <c r="A12" s="22" t="s">
        <v>50</v>
      </c>
      <c r="B12" s="184">
        <f>'5TA (07)'!AE9</f>
        <v>-0.9</v>
      </c>
      <c r="C12" s="22" t="s">
        <v>45</v>
      </c>
      <c r="D12" s="184">
        <f>'5TA (07)'!AE5</f>
        <v>73.9</v>
      </c>
      <c r="E12" s="22" t="s">
        <v>70</v>
      </c>
      <c r="F12" s="184">
        <f>'5TA (07)'!AE23</f>
        <v>0</v>
      </c>
      <c r="G12" s="179"/>
      <c r="H12" s="194" t="s">
        <v>352</v>
      </c>
      <c r="I12" s="195"/>
      <c r="J12" s="195"/>
      <c r="K12" s="195"/>
      <c r="L12" s="196"/>
    </row>
    <row r="13" ht="15.75" customHeight="1">
      <c r="A13" s="22" t="s">
        <v>51</v>
      </c>
      <c r="B13" s="184">
        <f>'5TA (07)'!AE10</f>
        <v>0.6</v>
      </c>
      <c r="C13" s="22" t="s">
        <v>46</v>
      </c>
      <c r="D13" s="184">
        <f>'5TA (07)'!AE6</f>
        <v>-1.5</v>
      </c>
      <c r="E13" s="13" t="s">
        <v>81</v>
      </c>
      <c r="F13" s="184">
        <f>'5TA (07)'!AE31</f>
        <v>-1</v>
      </c>
      <c r="G13" s="179"/>
      <c r="H13" s="179"/>
      <c r="I13" s="179"/>
      <c r="J13" s="179"/>
      <c r="K13" s="179"/>
      <c r="L13" s="179"/>
    </row>
    <row r="14" ht="15.75" customHeight="1">
      <c r="A14" s="22" t="s">
        <v>63</v>
      </c>
      <c r="B14" s="184">
        <f>'5TA (07)'!AE19</f>
        <v>0.8</v>
      </c>
      <c r="C14" s="22" t="s">
        <v>52</v>
      </c>
      <c r="D14" s="184">
        <f>'5TA (07)'!AE11</f>
        <v>0.5</v>
      </c>
      <c r="E14" s="190"/>
      <c r="F14" s="191"/>
      <c r="G14" s="179"/>
      <c r="H14" s="200" t="s">
        <v>354</v>
      </c>
      <c r="I14" s="179"/>
      <c r="J14" s="179"/>
      <c r="K14" s="179"/>
      <c r="L14" s="179"/>
    </row>
    <row r="15" ht="15.75" customHeight="1">
      <c r="A15" s="22" t="s">
        <v>68</v>
      </c>
      <c r="B15" s="184">
        <f>'5TA (07)'!AE22</f>
        <v>0.8</v>
      </c>
      <c r="C15" s="13" t="s">
        <v>54</v>
      </c>
      <c r="D15" s="184">
        <f>'5TA (07)'!AE13</f>
        <v>-0.3</v>
      </c>
      <c r="E15" s="179"/>
      <c r="F15" s="179"/>
      <c r="G15" s="179"/>
      <c r="H15" s="201" t="s">
        <v>355</v>
      </c>
      <c r="I15" s="179"/>
      <c r="J15" s="179"/>
      <c r="K15" s="179"/>
      <c r="L15" s="179"/>
    </row>
    <row r="16" ht="15.75" customHeight="1">
      <c r="A16" s="22" t="s">
        <v>73</v>
      </c>
      <c r="B16" s="184">
        <f>'5TA (07)'!AE26</f>
        <v>0</v>
      </c>
      <c r="C16" s="13" t="s">
        <v>56</v>
      </c>
      <c r="D16" s="184">
        <f>'5TA (07)'!AE14</f>
        <v>0</v>
      </c>
      <c r="E16" s="179"/>
      <c r="F16" s="179"/>
      <c r="G16" s="179"/>
      <c r="H16" s="202" t="s">
        <v>356</v>
      </c>
      <c r="I16" s="179"/>
      <c r="J16" s="179"/>
      <c r="K16" s="179"/>
      <c r="L16" s="179"/>
    </row>
    <row r="17" ht="15.75" customHeight="1">
      <c r="A17" s="22" t="s">
        <v>79</v>
      </c>
      <c r="B17" s="184">
        <f>'5TA (07)'!AE29</f>
        <v>-0.8</v>
      </c>
      <c r="C17" s="13" t="s">
        <v>59</v>
      </c>
      <c r="D17" s="184">
        <f>'5TA (07)'!AE15</f>
        <v>0</v>
      </c>
      <c r="E17" s="179"/>
      <c r="F17" s="179"/>
      <c r="G17" s="179"/>
      <c r="H17" s="203" t="s">
        <v>357</v>
      </c>
      <c r="I17" s="179"/>
      <c r="J17" s="179"/>
      <c r="K17" s="179"/>
      <c r="L17" s="179"/>
    </row>
    <row r="18" ht="15.75" customHeight="1">
      <c r="A18" s="22" t="s">
        <v>80</v>
      </c>
      <c r="B18" s="184">
        <f>'5TA (07)'!AE30</f>
        <v>0</v>
      </c>
      <c r="C18" s="13" t="s">
        <v>60</v>
      </c>
      <c r="D18" s="184">
        <f>'5TA (07)'!AE16</f>
        <v>0.7</v>
      </c>
      <c r="E18" s="179"/>
      <c r="F18" s="179"/>
      <c r="G18" s="179"/>
      <c r="H18" s="204" t="s">
        <v>358</v>
      </c>
      <c r="I18" s="179"/>
      <c r="J18" s="179"/>
      <c r="K18" s="179"/>
      <c r="L18" s="179"/>
    </row>
    <row r="19" ht="15.75" customHeight="1">
      <c r="A19" s="22" t="s">
        <v>87</v>
      </c>
      <c r="B19" s="184">
        <f>'5TA (07)'!AE33</f>
        <v>-0.4</v>
      </c>
      <c r="C19" s="13" t="s">
        <v>61</v>
      </c>
      <c r="D19" s="184">
        <f>'5TA (07)'!AE17</f>
        <v>-0.3</v>
      </c>
      <c r="E19" s="179"/>
      <c r="F19" s="179"/>
      <c r="G19" s="179"/>
      <c r="H19" s="205" t="s">
        <v>74</v>
      </c>
      <c r="I19" s="179"/>
      <c r="J19" s="179"/>
      <c r="K19" s="179"/>
      <c r="L19" s="179"/>
    </row>
    <row r="20" ht="15.75" customHeight="1">
      <c r="A20" s="22" t="s">
        <v>359</v>
      </c>
      <c r="B20" s="184">
        <f>'5TA (07)'!AE36</f>
        <v>0.2</v>
      </c>
      <c r="C20" s="13" t="s">
        <v>62</v>
      </c>
      <c r="D20" s="184">
        <f>'5TA (07)'!AE18</f>
        <v>-0.8</v>
      </c>
      <c r="E20" s="179"/>
      <c r="F20" s="179"/>
      <c r="G20" s="179"/>
      <c r="H20" s="206" t="s">
        <v>360</v>
      </c>
      <c r="I20" s="179"/>
      <c r="J20" s="179"/>
      <c r="K20" s="179"/>
      <c r="L20" s="179"/>
    </row>
    <row r="21" ht="15.75" customHeight="1">
      <c r="A21" s="190"/>
      <c r="B21" s="191"/>
      <c r="C21" s="22" t="s">
        <v>65</v>
      </c>
      <c r="D21" s="184">
        <f>'5TA (07)'!AE21</f>
        <v>63</v>
      </c>
      <c r="E21" s="190"/>
      <c r="F21" s="191"/>
      <c r="G21" s="179"/>
      <c r="H21" s="207" t="s">
        <v>361</v>
      </c>
      <c r="I21" s="179"/>
      <c r="J21" s="179"/>
      <c r="K21" s="179"/>
      <c r="L21" s="179"/>
    </row>
    <row r="22" ht="15.75" customHeight="1">
      <c r="A22" s="179"/>
      <c r="B22" s="179"/>
      <c r="C22" s="22" t="s">
        <v>72</v>
      </c>
      <c r="D22" s="184">
        <f>'5TA (07)'!AE25</f>
        <v>0</v>
      </c>
      <c r="E22" s="190"/>
      <c r="F22" s="191"/>
      <c r="G22" s="179"/>
      <c r="H22" s="205" t="s">
        <v>17</v>
      </c>
      <c r="I22" s="179"/>
      <c r="J22" s="179"/>
      <c r="K22" s="179"/>
      <c r="L22" s="179"/>
    </row>
    <row r="23" ht="15.75" customHeight="1">
      <c r="A23" s="179"/>
      <c r="B23" s="179"/>
      <c r="C23" s="22" t="s">
        <v>77</v>
      </c>
      <c r="D23" s="184">
        <f>'5TA (07)'!AE28</f>
        <v>0.8</v>
      </c>
      <c r="E23" s="179"/>
      <c r="F23" s="179"/>
      <c r="G23" s="179"/>
      <c r="H23" s="207" t="s">
        <v>360</v>
      </c>
      <c r="I23" s="179"/>
      <c r="J23" s="179"/>
      <c r="K23" s="179"/>
      <c r="L23" s="179"/>
    </row>
    <row r="24" ht="15.75" customHeight="1">
      <c r="A24" s="197"/>
      <c r="B24" s="197"/>
      <c r="C24" s="197"/>
      <c r="D24" s="197"/>
      <c r="E24" s="197"/>
      <c r="F24" s="197"/>
      <c r="G24" s="179"/>
      <c r="H24" s="206" t="s">
        <v>361</v>
      </c>
      <c r="I24" s="179"/>
      <c r="J24" s="179"/>
      <c r="K24" s="179"/>
      <c r="L24" s="179"/>
    </row>
    <row r="25" ht="15.75" customHeight="1">
      <c r="A25" s="178" t="s">
        <v>362</v>
      </c>
      <c r="G25" s="179"/>
      <c r="H25" s="186" t="s">
        <v>349</v>
      </c>
      <c r="I25" s="187"/>
      <c r="J25" s="187"/>
      <c r="K25" s="187"/>
      <c r="L25" s="188"/>
    </row>
    <row r="26" ht="15.75" customHeight="1">
      <c r="A26" s="180" t="s">
        <v>7</v>
      </c>
      <c r="B26" s="181"/>
      <c r="C26" s="182" t="s">
        <v>14</v>
      </c>
      <c r="D26" s="181"/>
      <c r="E26" s="183" t="s">
        <v>17</v>
      </c>
      <c r="F26" s="181"/>
      <c r="G26" s="179"/>
      <c r="H26" s="192" t="s">
        <v>350</v>
      </c>
      <c r="L26" s="193"/>
    </row>
    <row r="27" ht="15.75" customHeight="1">
      <c r="A27" s="22" t="s">
        <v>98</v>
      </c>
      <c r="B27" s="184">
        <f>'6TA (08)'!AE4</f>
        <v>0.2</v>
      </c>
      <c r="C27" s="199" t="s">
        <v>101</v>
      </c>
      <c r="D27" s="184">
        <f>'6TA (08)'!AE6</f>
        <v>-0.7</v>
      </c>
      <c r="E27" s="46" t="s">
        <v>99</v>
      </c>
      <c r="F27" s="184">
        <f>'6TA (08)'!AE5</f>
        <v>-1</v>
      </c>
      <c r="G27" s="179"/>
      <c r="H27" s="192" t="s">
        <v>351</v>
      </c>
      <c r="L27" s="193"/>
    </row>
    <row r="28" ht="15.75" customHeight="1">
      <c r="A28" s="22" t="s">
        <v>109</v>
      </c>
      <c r="B28" s="184">
        <f>'6TA (08)'!AE11</f>
        <v>0.6</v>
      </c>
      <c r="C28" s="199" t="s">
        <v>104</v>
      </c>
      <c r="D28" s="184">
        <f>'6TA (08)'!AE8</f>
        <v>-0.9</v>
      </c>
      <c r="E28" s="179"/>
      <c r="F28" s="179"/>
      <c r="G28" s="179"/>
      <c r="H28" s="194" t="s">
        <v>352</v>
      </c>
      <c r="I28" s="195"/>
      <c r="J28" s="195"/>
      <c r="K28" s="195"/>
      <c r="L28" s="196"/>
    </row>
    <row r="29" ht="15.75" customHeight="1">
      <c r="A29" s="22" t="s">
        <v>110</v>
      </c>
      <c r="B29" s="184">
        <f>'6TA (08)'!AE12</f>
        <v>0.4</v>
      </c>
      <c r="C29" s="22" t="s">
        <v>105</v>
      </c>
      <c r="D29" s="184">
        <f>'6TA (08)'!AE9</f>
        <v>-0.1</v>
      </c>
      <c r="E29" s="179"/>
      <c r="F29" s="179"/>
      <c r="G29" s="179"/>
      <c r="H29" s="179"/>
      <c r="I29" s="179"/>
      <c r="J29" s="179"/>
      <c r="K29" s="200" t="s">
        <v>354</v>
      </c>
      <c r="L29" s="179"/>
    </row>
    <row r="30" ht="15.75" customHeight="1">
      <c r="A30" s="199" t="s">
        <v>118</v>
      </c>
      <c r="B30" s="184">
        <f>'6TA (08)'!AE18</f>
        <v>1</v>
      </c>
      <c r="C30" s="199" t="s">
        <v>111</v>
      </c>
      <c r="D30" s="184">
        <f>'6TA (08)'!AE13</f>
        <v>0.5</v>
      </c>
      <c r="E30" s="179"/>
      <c r="F30" s="179"/>
      <c r="G30" s="179"/>
      <c r="H30" s="208" t="s">
        <v>97</v>
      </c>
      <c r="I30" s="209" t="s">
        <v>363</v>
      </c>
      <c r="J30" s="209"/>
      <c r="K30" s="201" t="s">
        <v>355</v>
      </c>
      <c r="L30" s="179"/>
    </row>
    <row r="31" ht="15.75" customHeight="1">
      <c r="A31" s="22" t="s">
        <v>125</v>
      </c>
      <c r="B31" s="184">
        <f>'6TA (08)'!AE23</f>
        <v>-64.8</v>
      </c>
      <c r="C31" s="13" t="s">
        <v>114</v>
      </c>
      <c r="D31" s="184">
        <f>'6TA (08)'!AE15</f>
        <v>-0.3</v>
      </c>
      <c r="E31" s="179"/>
      <c r="F31" s="179"/>
      <c r="G31" s="179"/>
      <c r="H31" s="208" t="s">
        <v>102</v>
      </c>
      <c r="I31" s="209"/>
      <c r="J31" s="209"/>
      <c r="K31" s="202" t="s">
        <v>356</v>
      </c>
      <c r="L31" s="179"/>
    </row>
    <row r="32" ht="15.75" customHeight="1">
      <c r="A32" s="46" t="s">
        <v>141</v>
      </c>
      <c r="B32" s="184">
        <f>'6TA (08)'!AE34</f>
        <v>-1.4</v>
      </c>
      <c r="C32" s="13" t="s">
        <v>115</v>
      </c>
      <c r="D32" s="184">
        <f>'6TA (08)'!AE16</f>
        <v>75.4</v>
      </c>
      <c r="E32" s="179"/>
      <c r="F32" s="179"/>
      <c r="G32" s="179"/>
      <c r="H32" s="208" t="s">
        <v>108</v>
      </c>
      <c r="I32" s="209"/>
      <c r="J32" s="209"/>
      <c r="K32" s="203" t="s">
        <v>357</v>
      </c>
      <c r="L32" s="179"/>
    </row>
    <row r="33" ht="15.75" customHeight="1">
      <c r="A33" s="179"/>
      <c r="B33" s="179"/>
      <c r="C33" s="13" t="s">
        <v>116</v>
      </c>
      <c r="D33" s="184">
        <f>'6TA (08)'!AE17</f>
        <v>0.4</v>
      </c>
      <c r="E33" s="179"/>
      <c r="F33" s="179"/>
      <c r="G33" s="179"/>
      <c r="H33" s="208" t="s">
        <v>113</v>
      </c>
      <c r="I33" s="209"/>
      <c r="J33" s="209"/>
      <c r="K33" s="204" t="s">
        <v>358</v>
      </c>
      <c r="L33" s="179"/>
    </row>
    <row r="34" ht="15.75" customHeight="1">
      <c r="A34" s="179"/>
      <c r="B34" s="179"/>
      <c r="C34" s="22" t="s">
        <v>121</v>
      </c>
      <c r="D34" s="184">
        <f>'6TA (08)'!AE20</f>
        <v>-0.1</v>
      </c>
      <c r="E34" s="179"/>
      <c r="F34" s="179"/>
      <c r="G34" s="179"/>
      <c r="H34" s="208" t="s">
        <v>124</v>
      </c>
      <c r="I34" s="209"/>
      <c r="J34" s="209"/>
      <c r="K34" s="205" t="s">
        <v>74</v>
      </c>
      <c r="L34" s="179"/>
    </row>
    <row r="35" ht="15.75" customHeight="1">
      <c r="A35" s="179"/>
      <c r="B35" s="179"/>
      <c r="C35" s="199" t="s">
        <v>127</v>
      </c>
      <c r="D35" s="184">
        <f>'6TA (08)'!AE24</f>
        <v>0</v>
      </c>
      <c r="E35" s="179"/>
      <c r="F35" s="179"/>
      <c r="G35" s="179"/>
      <c r="H35" s="208" t="s">
        <v>129</v>
      </c>
      <c r="I35" s="209"/>
      <c r="J35" s="209"/>
      <c r="K35" s="206" t="s">
        <v>360</v>
      </c>
      <c r="L35" s="179"/>
    </row>
    <row r="36" ht="15.75" customHeight="1">
      <c r="A36" s="179"/>
      <c r="B36" s="179"/>
      <c r="C36" s="22" t="s">
        <v>131</v>
      </c>
      <c r="D36" s="184">
        <f>'6TA (08)'!AE27</f>
        <v>-0.4</v>
      </c>
      <c r="E36" s="179"/>
      <c r="F36" s="179"/>
      <c r="G36" s="179"/>
      <c r="H36" s="208" t="s">
        <v>130</v>
      </c>
      <c r="I36" s="209"/>
      <c r="J36" s="209"/>
      <c r="K36" s="207" t="s">
        <v>361</v>
      </c>
      <c r="L36" s="179"/>
    </row>
    <row r="37" ht="15.75" customHeight="1">
      <c r="A37" s="179"/>
      <c r="B37" s="179"/>
      <c r="C37" s="22" t="s">
        <v>134</v>
      </c>
      <c r="D37" s="184">
        <f>'6TA (08)'!AE30</f>
        <v>0.3</v>
      </c>
      <c r="E37" s="179"/>
      <c r="F37" s="179"/>
      <c r="G37" s="179"/>
      <c r="H37" s="208" t="s">
        <v>132</v>
      </c>
      <c r="I37" s="209"/>
      <c r="J37" s="209"/>
      <c r="K37" s="205" t="s">
        <v>17</v>
      </c>
      <c r="L37" s="179"/>
    </row>
    <row r="38" ht="15.75" customHeight="1">
      <c r="A38" s="179"/>
      <c r="B38" s="179"/>
      <c r="C38" s="22" t="s">
        <v>139</v>
      </c>
      <c r="D38" s="184">
        <f>'6TA (08)'!AE34</f>
        <v>-1.4</v>
      </c>
      <c r="E38" s="179"/>
      <c r="F38" s="179"/>
      <c r="G38" s="179"/>
      <c r="H38" s="208" t="s">
        <v>136</v>
      </c>
      <c r="I38" s="209"/>
      <c r="J38" s="209"/>
      <c r="K38" s="207" t="s">
        <v>360</v>
      </c>
      <c r="L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206" t="s">
        <v>361</v>
      </c>
      <c r="L39" s="179"/>
    </row>
    <row r="40" ht="15.75" customHeight="1">
      <c r="A40" s="178" t="s">
        <v>364</v>
      </c>
      <c r="G40" s="179"/>
      <c r="H40" s="186" t="s">
        <v>349</v>
      </c>
      <c r="I40" s="187"/>
      <c r="J40" s="187"/>
      <c r="K40" s="187"/>
      <c r="L40" s="188"/>
    </row>
    <row r="41" ht="15.75" customHeight="1">
      <c r="A41" s="180" t="s">
        <v>7</v>
      </c>
      <c r="B41" s="181"/>
      <c r="C41" s="182" t="s">
        <v>14</v>
      </c>
      <c r="D41" s="181"/>
      <c r="E41" s="183" t="s">
        <v>17</v>
      </c>
      <c r="F41" s="181"/>
      <c r="G41" s="179"/>
      <c r="H41" s="192" t="s">
        <v>350</v>
      </c>
      <c r="L41" s="193"/>
    </row>
    <row r="42" ht="15.75" customHeight="1">
      <c r="A42" s="22" t="s">
        <v>155</v>
      </c>
      <c r="B42" s="184">
        <f>'7MA (09)'!AD4</f>
        <v>-0.7</v>
      </c>
      <c r="C42" s="22" t="s">
        <v>153</v>
      </c>
      <c r="D42" s="184">
        <f>'7MA (09)'!AD3</f>
        <v>-60</v>
      </c>
      <c r="E42" s="13" t="s">
        <v>148</v>
      </c>
      <c r="F42" s="184">
        <f>'7MA (09)'!AD21</f>
        <v>-78.8</v>
      </c>
      <c r="G42" s="179"/>
      <c r="H42" s="192" t="s">
        <v>351</v>
      </c>
      <c r="L42" s="193"/>
    </row>
    <row r="43" ht="15.75" customHeight="1">
      <c r="A43" s="22" t="s">
        <v>157</v>
      </c>
      <c r="B43" s="184">
        <f>'7MA (09)'!AD5</f>
        <v>-0.4</v>
      </c>
      <c r="C43" s="199" t="s">
        <v>159</v>
      </c>
      <c r="D43" s="184">
        <f>'7MA (09)'!AD6</f>
        <v>-0.2</v>
      </c>
      <c r="E43" s="13" t="s">
        <v>179</v>
      </c>
      <c r="F43" s="184">
        <f>'7MA (09)'!AD23</f>
        <v>0</v>
      </c>
      <c r="G43" s="179"/>
      <c r="H43" s="194" t="s">
        <v>352</v>
      </c>
      <c r="I43" s="195"/>
      <c r="J43" s="195"/>
      <c r="K43" s="195"/>
      <c r="L43" s="196"/>
    </row>
    <row r="44" ht="15.75" customHeight="1">
      <c r="A44" s="22" t="s">
        <v>161</v>
      </c>
      <c r="B44" s="184">
        <f>'7MA (09)'!AD8</f>
        <v>0.8</v>
      </c>
      <c r="C44" s="22" t="s">
        <v>160</v>
      </c>
      <c r="D44" s="184">
        <f>'7MA (09)'!AD7</f>
        <v>0.1</v>
      </c>
      <c r="E44" s="22" t="s">
        <v>183</v>
      </c>
      <c r="F44" s="184">
        <f>'7MA (09)'!AD26</f>
        <v>0.7</v>
      </c>
      <c r="G44" s="179"/>
      <c r="H44" s="179"/>
      <c r="I44" s="179"/>
      <c r="J44" s="179"/>
      <c r="K44" s="179"/>
      <c r="L44" s="179"/>
    </row>
    <row r="45" ht="15.75" customHeight="1">
      <c r="A45" s="22" t="s">
        <v>163</v>
      </c>
      <c r="B45" s="184">
        <f>'7MA (09)'!AD10</f>
        <v>0</v>
      </c>
      <c r="C45" s="22" t="s">
        <v>162</v>
      </c>
      <c r="D45" s="184">
        <f>'7MA (09)'!AD9</f>
        <v>0.4</v>
      </c>
      <c r="E45" s="22" t="s">
        <v>195</v>
      </c>
      <c r="F45" s="184">
        <f>'7MA (09)'!AD34</f>
        <v>64.3</v>
      </c>
      <c r="G45" s="179"/>
      <c r="H45" s="208" t="s">
        <v>166</v>
      </c>
      <c r="I45" s="209" t="s">
        <v>363</v>
      </c>
      <c r="J45" s="209"/>
      <c r="K45" s="179"/>
      <c r="L45" s="179"/>
    </row>
    <row r="46" ht="15.75" customHeight="1">
      <c r="A46" s="22" t="s">
        <v>165</v>
      </c>
      <c r="B46" s="184">
        <f>'7MA (09)'!AD12</f>
        <v>0.8</v>
      </c>
      <c r="C46" s="22" t="s">
        <v>164</v>
      </c>
      <c r="D46" s="184">
        <f>'7MA (09)'!AD11</f>
        <v>0.2</v>
      </c>
      <c r="E46" s="22" t="s">
        <v>201</v>
      </c>
      <c r="F46" s="184">
        <f>'7MA (09)'!AD39</f>
        <v>-1</v>
      </c>
      <c r="G46" s="179"/>
      <c r="H46" s="208" t="s">
        <v>176</v>
      </c>
      <c r="I46" s="209"/>
      <c r="J46" s="209"/>
      <c r="K46" s="179"/>
      <c r="L46" s="179"/>
    </row>
    <row r="47" ht="15.75" customHeight="1">
      <c r="A47" s="22" t="s">
        <v>167</v>
      </c>
      <c r="B47" s="184">
        <f>'7MA (09)'!AD14</f>
        <v>-1.2</v>
      </c>
      <c r="C47" s="22" t="s">
        <v>168</v>
      </c>
      <c r="D47" s="184">
        <f>'7MA (09)'!AD15</f>
        <v>0</v>
      </c>
      <c r="E47" s="179"/>
      <c r="F47" s="179"/>
      <c r="G47" s="179"/>
      <c r="H47" s="208" t="s">
        <v>192</v>
      </c>
      <c r="I47" s="209"/>
      <c r="J47" s="209"/>
      <c r="K47" s="179"/>
      <c r="L47" s="179"/>
    </row>
    <row r="48" ht="15.75" customHeight="1">
      <c r="A48" s="22" t="s">
        <v>171</v>
      </c>
      <c r="B48" s="184">
        <f>'7MA (09)'!AD17</f>
        <v>0</v>
      </c>
      <c r="C48" s="22" t="s">
        <v>169</v>
      </c>
      <c r="D48" s="184">
        <f>'7MA (09)'!AD16</f>
        <v>-4.1</v>
      </c>
      <c r="E48" s="179"/>
      <c r="F48" s="179"/>
      <c r="G48" s="179"/>
      <c r="H48" s="179"/>
      <c r="I48" s="179"/>
      <c r="J48" s="179"/>
      <c r="K48" s="179"/>
      <c r="L48" s="179"/>
    </row>
    <row r="49" ht="15.75" customHeight="1">
      <c r="A49" s="22" t="s">
        <v>173</v>
      </c>
      <c r="B49" s="184">
        <f>'7MA (09)'!AD18</f>
        <v>0.5</v>
      </c>
      <c r="C49" s="22" t="s">
        <v>175</v>
      </c>
      <c r="D49" s="184">
        <f>'7MA (09)'!AD19</f>
        <v>1.6</v>
      </c>
      <c r="E49" s="179"/>
      <c r="F49" s="179"/>
      <c r="G49" s="179"/>
      <c r="H49" s="200" t="s">
        <v>354</v>
      </c>
      <c r="I49" s="179"/>
      <c r="J49" s="179"/>
      <c r="K49" s="179"/>
      <c r="L49" s="179"/>
    </row>
    <row r="50" ht="15.75" customHeight="1">
      <c r="A50" s="199" t="s">
        <v>182</v>
      </c>
      <c r="B50" s="184">
        <f>'7MA (09)'!AD25</f>
        <v>0.4</v>
      </c>
      <c r="C50" s="22" t="s">
        <v>177</v>
      </c>
      <c r="D50" s="210">
        <f>'7MA (09)'!AD22</f>
        <v>0</v>
      </c>
      <c r="E50" s="179"/>
      <c r="F50" s="179"/>
      <c r="G50" s="179"/>
      <c r="H50" s="201" t="s">
        <v>355</v>
      </c>
      <c r="I50" s="179"/>
      <c r="J50" s="179"/>
      <c r="K50" s="179"/>
      <c r="L50" s="179"/>
    </row>
    <row r="51" ht="15.75" customHeight="1">
      <c r="A51" s="22" t="s">
        <v>188</v>
      </c>
      <c r="B51" s="184">
        <f>'7MA (09)'!AD29</f>
        <v>0.1</v>
      </c>
      <c r="C51" s="22" t="s">
        <v>180</v>
      </c>
      <c r="D51" s="210">
        <f>'7MA (09)'!AD24</f>
        <v>-60</v>
      </c>
      <c r="E51" s="179"/>
      <c r="F51" s="179"/>
      <c r="G51" s="179"/>
      <c r="H51" s="202" t="s">
        <v>356</v>
      </c>
      <c r="I51" s="179"/>
      <c r="J51" s="179"/>
      <c r="K51" s="179"/>
      <c r="L51" s="179"/>
    </row>
    <row r="52" ht="15.75" customHeight="1">
      <c r="A52" s="22" t="s">
        <v>189</v>
      </c>
      <c r="B52" s="184">
        <f>'7MA (09)'!AD30</f>
        <v>-0.9</v>
      </c>
      <c r="C52" s="22" t="s">
        <v>185</v>
      </c>
      <c r="D52" s="210">
        <f>'7MA (09)'!AD27</f>
        <v>-78.6</v>
      </c>
      <c r="E52" s="179"/>
      <c r="F52" s="179"/>
      <c r="G52" s="179"/>
      <c r="H52" s="203" t="s">
        <v>357</v>
      </c>
      <c r="I52" s="179"/>
      <c r="J52" s="179"/>
      <c r="K52" s="179"/>
      <c r="L52" s="179"/>
    </row>
    <row r="53" ht="15.75" customHeight="1">
      <c r="A53" s="22" t="s">
        <v>198</v>
      </c>
      <c r="B53" s="184">
        <f>'7MA (09)'!AD36</f>
        <v>-0.5</v>
      </c>
      <c r="C53" s="22" t="s">
        <v>186</v>
      </c>
      <c r="D53" s="210">
        <f>'7MA (09)'!AD28</f>
        <v>-2.2</v>
      </c>
      <c r="E53" s="179"/>
      <c r="F53" s="179"/>
      <c r="G53" s="179"/>
      <c r="H53" s="204" t="s">
        <v>358</v>
      </c>
      <c r="I53" s="179"/>
      <c r="J53" s="179"/>
      <c r="K53" s="179"/>
      <c r="L53" s="179"/>
    </row>
    <row r="54" ht="15.75" customHeight="1">
      <c r="A54" s="22" t="s">
        <v>203</v>
      </c>
      <c r="B54" s="184">
        <f>'7MA (09)'!AD39</f>
        <v>-1</v>
      </c>
      <c r="C54" s="199" t="s">
        <v>191</v>
      </c>
      <c r="D54" s="210">
        <f>'7MA (09)'!AD31</f>
        <v>-0.9</v>
      </c>
      <c r="E54" s="179"/>
      <c r="F54" s="179"/>
      <c r="G54" s="179"/>
      <c r="H54" s="205" t="s">
        <v>74</v>
      </c>
      <c r="I54" s="179"/>
      <c r="J54" s="179"/>
      <c r="K54" s="179"/>
      <c r="L54" s="179"/>
    </row>
    <row r="55" ht="15.75" customHeight="1">
      <c r="A55" s="179"/>
      <c r="B55" s="179"/>
      <c r="C55" s="22" t="s">
        <v>193</v>
      </c>
      <c r="D55" s="210">
        <f>'7MA (09)'!AD33</f>
        <v>-0.5</v>
      </c>
      <c r="E55" s="179"/>
      <c r="F55" s="179"/>
      <c r="G55" s="179"/>
      <c r="H55" s="206" t="s">
        <v>360</v>
      </c>
      <c r="I55" s="179"/>
      <c r="J55" s="179"/>
      <c r="K55" s="179"/>
      <c r="L55" s="179"/>
    </row>
    <row r="56" ht="15.75" customHeight="1">
      <c r="A56" s="179"/>
      <c r="B56" s="179"/>
      <c r="C56" s="22" t="s">
        <v>196</v>
      </c>
      <c r="D56" s="210">
        <f>'7MA (09)'!AD35</f>
        <v>0.8</v>
      </c>
      <c r="E56" s="179"/>
      <c r="F56" s="179"/>
      <c r="G56" s="179"/>
      <c r="H56" s="207" t="s">
        <v>361</v>
      </c>
      <c r="I56" s="179"/>
      <c r="J56" s="179"/>
      <c r="K56" s="179"/>
      <c r="L56" s="179"/>
    </row>
    <row r="57" ht="15.75" customHeight="1">
      <c r="A57" s="179"/>
      <c r="B57" s="179"/>
      <c r="C57" s="199" t="s">
        <v>200</v>
      </c>
      <c r="D57" s="210">
        <f>'7MA (09)'!AD37</f>
        <v>0</v>
      </c>
      <c r="E57" s="179"/>
      <c r="F57" s="179"/>
      <c r="G57" s="179"/>
      <c r="H57" s="205" t="s">
        <v>17</v>
      </c>
      <c r="I57" s="179"/>
      <c r="J57" s="179"/>
      <c r="K57" s="179"/>
      <c r="L57" s="179"/>
    </row>
    <row r="58" ht="15.75" customHeight="1">
      <c r="A58" s="179"/>
      <c r="B58" s="179"/>
      <c r="C58" s="211" t="s">
        <v>204</v>
      </c>
      <c r="D58" s="210">
        <f>'7MA (09)'!AD40</f>
        <v>-0.4</v>
      </c>
      <c r="E58" s="179"/>
      <c r="F58" s="179"/>
      <c r="G58" s="179"/>
      <c r="H58" s="207" t="s">
        <v>360</v>
      </c>
      <c r="I58" s="179"/>
      <c r="J58" s="179"/>
      <c r="K58" s="179"/>
      <c r="L58" s="179"/>
    </row>
    <row r="59" ht="15.75" customHeight="1">
      <c r="A59" s="179"/>
      <c r="B59" s="179"/>
      <c r="C59" s="22" t="s">
        <v>205</v>
      </c>
      <c r="D59" s="210">
        <f>'7MA (09)'!AD41</f>
        <v>-0.2</v>
      </c>
      <c r="E59" s="179"/>
      <c r="F59" s="179"/>
      <c r="G59" s="179"/>
      <c r="H59" s="206" t="s">
        <v>361</v>
      </c>
      <c r="I59" s="179"/>
      <c r="J59" s="179"/>
      <c r="K59" s="179"/>
      <c r="L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212"/>
    </row>
    <row r="61" ht="15.75" customHeight="1">
      <c r="A61" s="178" t="s">
        <v>365</v>
      </c>
      <c r="G61" s="179"/>
      <c r="H61" s="186" t="s">
        <v>349</v>
      </c>
      <c r="I61" s="187"/>
      <c r="J61" s="187"/>
      <c r="K61" s="187"/>
      <c r="L61" s="188"/>
    </row>
    <row r="62" ht="15.75" customHeight="1">
      <c r="A62" s="180" t="s">
        <v>7</v>
      </c>
      <c r="B62" s="181"/>
      <c r="C62" s="182" t="s">
        <v>14</v>
      </c>
      <c r="D62" s="181"/>
      <c r="E62" s="183" t="s">
        <v>17</v>
      </c>
      <c r="F62" s="181"/>
      <c r="G62" s="179"/>
      <c r="H62" s="192" t="s">
        <v>350</v>
      </c>
      <c r="L62" s="193"/>
    </row>
    <row r="63" ht="15.75" customHeight="1">
      <c r="A63" s="46" t="s">
        <v>209</v>
      </c>
      <c r="B63" s="184">
        <f>'8VA (10)'!AB4</f>
        <v>-0.6</v>
      </c>
      <c r="C63" s="199" t="s">
        <v>207</v>
      </c>
      <c r="D63" s="184">
        <f>'8VA (10)'!AB3</f>
        <v>-0.3</v>
      </c>
      <c r="E63" s="213" t="s">
        <v>366</v>
      </c>
      <c r="G63" s="179"/>
      <c r="H63" s="192" t="s">
        <v>351</v>
      </c>
      <c r="L63" s="193"/>
    </row>
    <row r="64" ht="15.75" customHeight="1">
      <c r="A64" s="13" t="s">
        <v>210</v>
      </c>
      <c r="B64" s="184">
        <f>'8VA (10)'!AB5</f>
        <v>-68.4</v>
      </c>
      <c r="C64" s="22" t="s">
        <v>212</v>
      </c>
      <c r="D64" s="184">
        <f>'8VA (10)'!AB6</f>
        <v>0</v>
      </c>
      <c r="E64" s="179"/>
      <c r="F64" s="179"/>
      <c r="G64" s="179"/>
      <c r="H64" s="194" t="s">
        <v>352</v>
      </c>
      <c r="I64" s="195"/>
      <c r="J64" s="195"/>
      <c r="K64" s="195"/>
      <c r="L64" s="196"/>
    </row>
    <row r="65" ht="15.75" customHeight="1">
      <c r="A65" s="13" t="s">
        <v>237</v>
      </c>
      <c r="B65" s="184">
        <f>'8VA (10)'!AB23</f>
        <v>0.3</v>
      </c>
      <c r="C65" s="22" t="s">
        <v>213</v>
      </c>
      <c r="D65" s="184">
        <f>'8VA (10)'!AB7</f>
        <v>-1.1</v>
      </c>
      <c r="E65" s="179"/>
      <c r="F65" s="179"/>
      <c r="G65" s="179"/>
      <c r="H65" s="179"/>
      <c r="I65" s="179"/>
      <c r="J65" s="179"/>
      <c r="K65" s="179"/>
      <c r="L65" s="179"/>
    </row>
    <row r="66" ht="15.75" customHeight="1">
      <c r="A66" s="13" t="s">
        <v>245</v>
      </c>
      <c r="B66" s="184">
        <f>'8VA (10)'!AB30</f>
        <v>0.3</v>
      </c>
      <c r="C66" s="22" t="s">
        <v>214</v>
      </c>
      <c r="D66" s="184">
        <f>'8VA (10)'!AB8</f>
        <v>-59.6</v>
      </c>
      <c r="E66" s="179"/>
      <c r="F66" s="179"/>
      <c r="G66" s="179"/>
      <c r="H66" s="179"/>
      <c r="I66" s="179"/>
      <c r="J66" s="179"/>
      <c r="K66" s="179"/>
      <c r="L66" s="179"/>
    </row>
    <row r="67" ht="15.75" customHeight="1">
      <c r="A67" s="46" t="s">
        <v>249</v>
      </c>
      <c r="B67" s="184">
        <f>'8VA (10)'!AB33</f>
        <v>-0.9</v>
      </c>
      <c r="C67" s="22" t="s">
        <v>215</v>
      </c>
      <c r="D67" s="184">
        <f>'8VA (10)'!AB9</f>
        <v>-1</v>
      </c>
      <c r="E67" s="179"/>
      <c r="F67" s="179"/>
      <c r="G67" s="179"/>
      <c r="H67" s="179"/>
      <c r="I67" s="179"/>
      <c r="J67" s="179"/>
      <c r="K67" s="179"/>
      <c r="L67" s="179"/>
    </row>
    <row r="68" ht="15.75" customHeight="1">
      <c r="A68" s="46" t="s">
        <v>250</v>
      </c>
      <c r="B68" s="184">
        <f>'8VA (10)'!AB34</f>
        <v>-0.9</v>
      </c>
      <c r="C68" s="22" t="s">
        <v>216</v>
      </c>
      <c r="D68" s="184">
        <f>'8VA (10)'!AB10</f>
        <v>2</v>
      </c>
      <c r="E68" s="179"/>
      <c r="F68" s="179"/>
      <c r="G68" s="179"/>
      <c r="H68" s="200" t="s">
        <v>354</v>
      </c>
      <c r="I68" s="179"/>
      <c r="J68" s="179"/>
      <c r="K68" s="179"/>
      <c r="L68" s="179"/>
    </row>
    <row r="69" ht="15.75" customHeight="1">
      <c r="A69" s="13" t="s">
        <v>251</v>
      </c>
      <c r="B69" s="184">
        <f>'8VA (10)'!AB35</f>
        <v>0.7</v>
      </c>
      <c r="C69" s="22" t="s">
        <v>217</v>
      </c>
      <c r="D69" s="184">
        <f>'8VA (10)'!AB11</f>
        <v>1.6</v>
      </c>
      <c r="E69" s="179"/>
      <c r="F69" s="179"/>
      <c r="G69" s="179"/>
      <c r="H69" s="201" t="s">
        <v>355</v>
      </c>
      <c r="I69" s="179"/>
      <c r="J69" s="179"/>
      <c r="K69" s="179"/>
      <c r="L69" s="179"/>
    </row>
    <row r="70" ht="15.75" customHeight="1">
      <c r="A70" s="214"/>
      <c r="B70" s="214"/>
      <c r="C70" s="22" t="s">
        <v>219</v>
      </c>
      <c r="D70" s="184">
        <f>'8VA (10)'!AB12</f>
        <v>0.1</v>
      </c>
      <c r="E70" s="179"/>
      <c r="F70" s="179"/>
      <c r="G70" s="179"/>
      <c r="H70" s="202" t="s">
        <v>356</v>
      </c>
      <c r="I70" s="179"/>
      <c r="J70" s="179"/>
      <c r="K70" s="179"/>
      <c r="L70" s="179"/>
    </row>
    <row r="71" ht="15.75" customHeight="1">
      <c r="A71" s="214"/>
      <c r="B71" s="214"/>
      <c r="C71" s="22" t="s">
        <v>221</v>
      </c>
      <c r="D71" s="184">
        <f>'8VA (10)'!AB13</f>
        <v>0.3</v>
      </c>
      <c r="E71" s="179"/>
      <c r="F71" s="179"/>
      <c r="G71" s="179"/>
      <c r="H71" s="203" t="s">
        <v>357</v>
      </c>
      <c r="I71" s="179"/>
      <c r="J71" s="179"/>
      <c r="K71" s="179"/>
      <c r="L71" s="179"/>
    </row>
    <row r="72" ht="15.75" customHeight="1">
      <c r="A72" s="214"/>
      <c r="B72" s="214"/>
      <c r="C72" s="22" t="s">
        <v>223</v>
      </c>
      <c r="D72" s="184">
        <f>'8VA (10)'!AB14</f>
        <v>0.1</v>
      </c>
      <c r="E72" s="179"/>
      <c r="F72" s="179"/>
      <c r="G72" s="179"/>
      <c r="H72" s="204" t="s">
        <v>358</v>
      </c>
      <c r="I72" s="179"/>
      <c r="J72" s="179"/>
      <c r="K72" s="179"/>
      <c r="L72" s="179"/>
    </row>
    <row r="73" ht="15.75" customHeight="1">
      <c r="A73" s="214"/>
      <c r="B73" s="214"/>
      <c r="C73" s="22" t="s">
        <v>224</v>
      </c>
      <c r="D73" s="184">
        <f>'8VA (10)'!AB15</f>
        <v>-0.2</v>
      </c>
      <c r="E73" s="179"/>
      <c r="F73" s="179"/>
      <c r="G73" s="179"/>
      <c r="H73" s="205" t="s">
        <v>74</v>
      </c>
      <c r="I73" s="179"/>
      <c r="J73" s="179"/>
      <c r="K73" s="179"/>
      <c r="L73" s="179"/>
    </row>
    <row r="74" ht="15.75" customHeight="1">
      <c r="A74" s="214"/>
      <c r="B74" s="214"/>
      <c r="C74" s="95" t="s">
        <v>226</v>
      </c>
      <c r="D74" s="184">
        <f>'8VA (10)'!AB16</f>
        <v>0.1</v>
      </c>
      <c r="E74" s="179"/>
      <c r="F74" s="179"/>
      <c r="G74" s="179"/>
      <c r="H74" s="206" t="s">
        <v>360</v>
      </c>
      <c r="I74" s="179"/>
      <c r="J74" s="179"/>
      <c r="K74" s="179"/>
      <c r="L74" s="179"/>
    </row>
    <row r="75" ht="15.75" customHeight="1">
      <c r="A75" s="214"/>
      <c r="B75" s="214"/>
      <c r="C75" s="199" t="s">
        <v>227</v>
      </c>
      <c r="D75" s="184">
        <f>'8VA (10)'!AB17</f>
        <v>-1.4</v>
      </c>
      <c r="E75" s="179"/>
      <c r="F75" s="179"/>
      <c r="G75" s="179"/>
      <c r="H75" s="207" t="s">
        <v>361</v>
      </c>
      <c r="I75" s="179"/>
      <c r="J75" s="179"/>
      <c r="K75" s="179"/>
      <c r="L75" s="179"/>
    </row>
    <row r="76" ht="15.75" customHeight="1">
      <c r="A76" s="214"/>
      <c r="B76" s="214"/>
      <c r="C76" s="22" t="s">
        <v>229</v>
      </c>
      <c r="D76" s="184">
        <f>'8VA (10)'!AB18</f>
        <v>1.2</v>
      </c>
      <c r="E76" s="179"/>
      <c r="F76" s="179"/>
      <c r="G76" s="179"/>
      <c r="H76" s="205" t="s">
        <v>17</v>
      </c>
      <c r="I76" s="179"/>
      <c r="J76" s="179"/>
      <c r="K76" s="179"/>
      <c r="L76" s="179"/>
    </row>
    <row r="77" ht="15.75" customHeight="1">
      <c r="A77" s="214"/>
      <c r="B77" s="214"/>
      <c r="C77" s="22" t="s">
        <v>230</v>
      </c>
      <c r="D77" s="184">
        <f>'8VA (10)'!AB19</f>
        <v>-1.2</v>
      </c>
      <c r="E77" s="179"/>
      <c r="F77" s="179"/>
      <c r="G77" s="179"/>
      <c r="H77" s="207" t="s">
        <v>360</v>
      </c>
      <c r="I77" s="179"/>
      <c r="J77" s="179"/>
      <c r="K77" s="179"/>
      <c r="L77" s="179"/>
    </row>
    <row r="78" ht="15.75" customHeight="1">
      <c r="A78" s="214"/>
      <c r="B78" s="214"/>
      <c r="C78" s="22" t="s">
        <v>232</v>
      </c>
      <c r="D78" s="184">
        <f>'8VA (10)'!AB20</f>
        <v>0.4</v>
      </c>
      <c r="E78" s="179"/>
      <c r="F78" s="179"/>
      <c r="G78" s="179"/>
      <c r="H78" s="206" t="s">
        <v>361</v>
      </c>
      <c r="I78" s="179"/>
      <c r="J78" s="179"/>
      <c r="K78" s="179"/>
      <c r="L78" s="179"/>
    </row>
    <row r="79" ht="15.75" customHeight="1">
      <c r="A79" s="214"/>
      <c r="B79" s="214"/>
      <c r="C79" s="22" t="s">
        <v>233</v>
      </c>
      <c r="D79" s="184">
        <f>'8VA (10)'!AB21</f>
        <v>-0.3</v>
      </c>
      <c r="E79" s="179"/>
      <c r="F79" s="179"/>
      <c r="G79" s="179"/>
      <c r="H79" s="179"/>
      <c r="I79" s="179"/>
      <c r="J79" s="179"/>
      <c r="K79" s="179"/>
      <c r="L79" s="179"/>
    </row>
    <row r="80" ht="15.75" customHeight="1">
      <c r="A80" s="214"/>
      <c r="B80" s="214"/>
      <c r="C80" s="199" t="s">
        <v>235</v>
      </c>
      <c r="D80" s="184">
        <f>'8VA (10)'!AB22</f>
        <v>-0.6</v>
      </c>
      <c r="E80" s="179"/>
      <c r="F80" s="179"/>
      <c r="G80" s="179"/>
      <c r="H80" s="179"/>
      <c r="I80" s="179"/>
      <c r="J80" s="179"/>
      <c r="K80" s="179"/>
      <c r="L80" s="179"/>
    </row>
    <row r="81" ht="15.75" customHeight="1">
      <c r="A81" s="214"/>
      <c r="B81" s="214"/>
      <c r="C81" s="13" t="s">
        <v>238</v>
      </c>
      <c r="D81" s="184">
        <f>'8VA (10)'!AB24</f>
        <v>0.8</v>
      </c>
      <c r="E81" s="179"/>
      <c r="F81" s="179"/>
      <c r="G81" s="179"/>
      <c r="H81" s="179"/>
      <c r="I81" s="179"/>
      <c r="J81" s="179"/>
      <c r="K81" s="179"/>
      <c r="L81" s="179"/>
    </row>
    <row r="82" ht="15.75" customHeight="1">
      <c r="A82" s="214"/>
      <c r="B82" s="214"/>
      <c r="C82" s="13" t="s">
        <v>239</v>
      </c>
      <c r="D82" s="184">
        <f>'8VA (10)'!AB25</f>
        <v>1</v>
      </c>
      <c r="E82" s="179"/>
      <c r="F82" s="179"/>
      <c r="G82" s="179"/>
      <c r="H82" s="179"/>
      <c r="I82" s="179"/>
      <c r="J82" s="179"/>
      <c r="K82" s="179"/>
      <c r="L82" s="179"/>
    </row>
    <row r="83" ht="15.75" customHeight="1">
      <c r="A83" s="214"/>
      <c r="B83" s="214"/>
      <c r="C83" s="31" t="s">
        <v>241</v>
      </c>
      <c r="D83" s="184">
        <f>'8VA (10)'!AB26</f>
        <v>-0.1</v>
      </c>
      <c r="E83" s="179"/>
      <c r="F83" s="179"/>
      <c r="G83" s="179"/>
      <c r="H83" s="179"/>
      <c r="I83" s="179"/>
      <c r="J83" s="179"/>
      <c r="K83" s="179"/>
      <c r="L83" s="179"/>
    </row>
    <row r="84" ht="15.75" customHeight="1">
      <c r="A84" s="214"/>
      <c r="B84" s="214"/>
      <c r="C84" s="13" t="s">
        <v>242</v>
      </c>
      <c r="D84" s="184">
        <f>'8VA (10)'!AB27</f>
        <v>0.9</v>
      </c>
      <c r="E84" s="179"/>
      <c r="F84" s="179"/>
      <c r="G84" s="179"/>
      <c r="H84" s="179"/>
      <c r="I84" s="179"/>
      <c r="J84" s="179"/>
      <c r="K84" s="179"/>
      <c r="L84" s="179"/>
    </row>
    <row r="85" ht="15.75" customHeight="1">
      <c r="A85" s="179"/>
      <c r="B85" s="179"/>
      <c r="C85" s="13" t="s">
        <v>243</v>
      </c>
      <c r="D85" s="184">
        <f>'8VA (10)'!AB28</f>
        <v>-0.6</v>
      </c>
      <c r="E85" s="179"/>
      <c r="F85" s="179"/>
      <c r="G85" s="179"/>
      <c r="H85" s="179"/>
      <c r="I85" s="179"/>
      <c r="J85" s="179"/>
      <c r="K85" s="179"/>
      <c r="L85" s="179"/>
    </row>
    <row r="86" ht="15.75" customHeight="1">
      <c r="A86" s="179"/>
      <c r="B86" s="179"/>
      <c r="C86" s="13" t="s">
        <v>244</v>
      </c>
      <c r="D86" s="184">
        <f>'8VA (10)'!AB29</f>
        <v>0.3</v>
      </c>
      <c r="E86" s="179"/>
      <c r="F86" s="179"/>
      <c r="G86" s="179"/>
      <c r="H86" s="179"/>
      <c r="I86" s="179"/>
      <c r="J86" s="179"/>
      <c r="K86" s="179"/>
      <c r="L86" s="179"/>
    </row>
    <row r="87" ht="15.75" customHeight="1">
      <c r="A87" s="179"/>
      <c r="B87" s="179"/>
      <c r="C87" s="13" t="s">
        <v>246</v>
      </c>
      <c r="D87" s="184">
        <f>'8VA (10)'!AB31</f>
        <v>0.5</v>
      </c>
      <c r="E87" s="179"/>
      <c r="F87" s="179"/>
      <c r="G87" s="179"/>
      <c r="H87" s="179"/>
      <c r="I87" s="179"/>
      <c r="J87" s="179"/>
      <c r="K87" s="179"/>
      <c r="L87" s="179"/>
    </row>
    <row r="88" ht="15.75" customHeight="1">
      <c r="A88" s="179"/>
      <c r="B88" s="179"/>
      <c r="C88" s="13" t="s">
        <v>247</v>
      </c>
      <c r="D88" s="184">
        <f>'8VA (10)'!AB32</f>
        <v>-0.2</v>
      </c>
      <c r="E88" s="179"/>
      <c r="F88" s="179"/>
      <c r="G88" s="179"/>
      <c r="H88" s="179"/>
      <c r="I88" s="179"/>
      <c r="J88" s="179"/>
      <c r="K88" s="179"/>
      <c r="L88" s="179"/>
    </row>
    <row r="89" ht="15.75" customHeight="1">
      <c r="A89" s="179"/>
      <c r="B89" s="179"/>
      <c r="C89" s="13" t="s">
        <v>252</v>
      </c>
      <c r="D89" s="184">
        <f>'8VA (10)'!AB36</f>
        <v>0.7</v>
      </c>
      <c r="E89" s="179"/>
      <c r="F89" s="179"/>
      <c r="G89" s="179"/>
      <c r="H89" s="179"/>
      <c r="I89" s="179"/>
      <c r="J89" s="179"/>
      <c r="K89" s="179"/>
      <c r="L89" s="179"/>
    </row>
    <row r="90" ht="15.75" customHeight="1">
      <c r="A90" s="179"/>
      <c r="B90" s="179"/>
      <c r="C90" s="13" t="s">
        <v>253</v>
      </c>
      <c r="D90" s="184">
        <f>'8VA (10)'!AB37</f>
        <v>0</v>
      </c>
      <c r="E90" s="179"/>
      <c r="F90" s="179"/>
      <c r="G90" s="179"/>
      <c r="H90" s="179"/>
      <c r="I90" s="179"/>
      <c r="J90" s="179"/>
      <c r="K90" s="179"/>
      <c r="L90" s="179"/>
    </row>
    <row r="91" ht="15.75" customHeight="1">
      <c r="A91" s="179"/>
      <c r="B91" s="179"/>
      <c r="C91" s="13" t="s">
        <v>254</v>
      </c>
      <c r="D91" s="184">
        <f>'8VA (10)'!AB38</f>
        <v>0.3</v>
      </c>
      <c r="E91" s="179"/>
      <c r="F91" s="179"/>
      <c r="G91" s="179"/>
      <c r="H91" s="179"/>
      <c r="I91" s="179"/>
      <c r="J91" s="179"/>
      <c r="K91" s="179"/>
      <c r="L91" s="179"/>
    </row>
    <row r="92" ht="15.75" customHeight="1">
      <c r="A92" s="179"/>
      <c r="B92" s="179"/>
      <c r="C92" s="13" t="s">
        <v>255</v>
      </c>
      <c r="D92" s="184">
        <f>'8VA (10)'!AB39</f>
        <v>78.5</v>
      </c>
      <c r="E92" s="179"/>
      <c r="F92" s="179"/>
      <c r="G92" s="179"/>
      <c r="H92" s="179"/>
      <c r="I92" s="179"/>
      <c r="J92" s="179"/>
      <c r="K92" s="179"/>
      <c r="L92" s="179"/>
    </row>
    <row r="93" ht="15.75" customHeight="1">
      <c r="A93" s="179"/>
      <c r="B93" s="179"/>
      <c r="C93" s="13" t="s">
        <v>256</v>
      </c>
      <c r="D93" s="184">
        <f>'8VA (10)'!AB40</f>
        <v>-0.1</v>
      </c>
      <c r="E93" s="179"/>
      <c r="F93" s="179"/>
      <c r="G93" s="179"/>
      <c r="H93" s="179"/>
      <c r="I93" s="179"/>
      <c r="J93" s="179"/>
      <c r="K93" s="179"/>
      <c r="L93" s="179"/>
    </row>
    <row r="94" ht="15.75" customHeight="1">
      <c r="A94" s="179"/>
      <c r="B94" s="179"/>
      <c r="C94" s="13" t="s">
        <v>258</v>
      </c>
      <c r="D94" s="184">
        <f>'8VA (10)'!AB41</f>
        <v>-0.7</v>
      </c>
      <c r="E94" s="179"/>
      <c r="F94" s="179"/>
      <c r="G94" s="179"/>
      <c r="H94" s="179"/>
      <c r="I94" s="179"/>
      <c r="J94" s="179"/>
      <c r="K94" s="179"/>
      <c r="L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</row>
    <row r="96" ht="15.75" customHeight="1">
      <c r="A96" s="178" t="s">
        <v>367</v>
      </c>
      <c r="G96" s="179"/>
      <c r="H96" s="186" t="s">
        <v>349</v>
      </c>
      <c r="I96" s="187"/>
      <c r="J96" s="187"/>
      <c r="K96" s="187"/>
      <c r="L96" s="188"/>
    </row>
    <row r="97" ht="15.75" customHeight="1">
      <c r="A97" s="180" t="s">
        <v>74</v>
      </c>
      <c r="B97" s="181"/>
      <c r="C97" s="182" t="s">
        <v>14</v>
      </c>
      <c r="D97" s="181"/>
      <c r="E97" s="183" t="s">
        <v>17</v>
      </c>
      <c r="F97" s="181"/>
      <c r="G97" s="179"/>
      <c r="H97" s="192" t="s">
        <v>350</v>
      </c>
      <c r="L97" s="193"/>
    </row>
    <row r="98" ht="15.75" customHeight="1">
      <c r="A98" s="199" t="s">
        <v>261</v>
      </c>
      <c r="B98" s="184">
        <f>'9NA (11)'!AA3</f>
        <v>-0.3</v>
      </c>
      <c r="C98" s="22" t="s">
        <v>264</v>
      </c>
      <c r="D98" s="184">
        <f>'9NA (11)'!AA5</f>
        <v>0.6</v>
      </c>
      <c r="E98" s="22" t="s">
        <v>262</v>
      </c>
      <c r="F98" s="184">
        <f>'9NA (11)'!AA4</f>
        <v>0.7</v>
      </c>
      <c r="G98" s="179"/>
      <c r="H98" s="192" t="s">
        <v>351</v>
      </c>
      <c r="L98" s="193"/>
    </row>
    <row r="99" ht="15.75" customHeight="1">
      <c r="A99" s="22" t="s">
        <v>275</v>
      </c>
      <c r="B99" s="184">
        <f>'9NA (11)'!AA12</f>
        <v>0.1</v>
      </c>
      <c r="C99" s="199" t="s">
        <v>266</v>
      </c>
      <c r="D99" s="184">
        <f>'9NA (11)'!AA6</f>
        <v>0.1</v>
      </c>
      <c r="E99" s="22" t="s">
        <v>268</v>
      </c>
      <c r="F99" s="184">
        <f>'9NA (11)'!AA7</f>
        <v>-1.2</v>
      </c>
      <c r="G99" s="179"/>
      <c r="H99" s="194" t="s">
        <v>352</v>
      </c>
      <c r="I99" s="195"/>
      <c r="J99" s="195"/>
      <c r="K99" s="195"/>
      <c r="L99" s="196"/>
    </row>
    <row r="100" ht="15.75" customHeight="1">
      <c r="A100" s="35" t="s">
        <v>278</v>
      </c>
      <c r="B100" s="184">
        <f>'9NA (11)'!AA14</f>
        <v>0.8</v>
      </c>
      <c r="C100" s="22" t="s">
        <v>270</v>
      </c>
      <c r="D100" s="184">
        <f>'9NA (11)'!AA8</f>
        <v>-0.3</v>
      </c>
      <c r="E100" s="22" t="s">
        <v>289</v>
      </c>
      <c r="F100" s="184">
        <f>'9NA (11)'!AA22</f>
        <v>1.7</v>
      </c>
      <c r="G100" s="179"/>
      <c r="H100" s="179"/>
      <c r="I100" s="179"/>
      <c r="J100" s="179"/>
      <c r="K100" s="179"/>
      <c r="L100" s="179"/>
    </row>
    <row r="101" ht="15.75" customHeight="1">
      <c r="A101" s="22" t="s">
        <v>291</v>
      </c>
      <c r="B101" s="184">
        <f>'9NA (11)'!AA23</f>
        <v>0.1</v>
      </c>
      <c r="C101" s="22" t="s">
        <v>271</v>
      </c>
      <c r="D101" s="184">
        <f>'9NA (11)'!AA9</f>
        <v>0.2</v>
      </c>
      <c r="E101" s="22" t="s">
        <v>298</v>
      </c>
      <c r="F101" s="184">
        <f>'9NA (11)'!AA29</f>
        <v>0.3</v>
      </c>
      <c r="G101" s="179"/>
      <c r="H101" s="179"/>
      <c r="I101" s="179"/>
      <c r="J101" s="179"/>
      <c r="K101" s="179"/>
      <c r="L101" s="179"/>
    </row>
    <row r="102" ht="15.75" customHeight="1">
      <c r="A102" s="22" t="s">
        <v>292</v>
      </c>
      <c r="B102" s="184">
        <f>'9NA (11)'!AA24</f>
        <v>-72.1</v>
      </c>
      <c r="C102" s="22" t="s">
        <v>272</v>
      </c>
      <c r="D102" s="184">
        <f>'9NA (11)'!AA10</f>
        <v>0.2</v>
      </c>
      <c r="E102" s="22" t="s">
        <v>303</v>
      </c>
      <c r="F102" s="184">
        <f>'9NA (11)'!AA33</f>
        <v>-1.2</v>
      </c>
      <c r="G102" s="179"/>
      <c r="H102" s="179"/>
      <c r="I102" s="179"/>
      <c r="J102" s="179"/>
      <c r="K102" s="179"/>
      <c r="L102" s="179"/>
    </row>
    <row r="103" ht="15.75" customHeight="1">
      <c r="A103" s="22" t="s">
        <v>299</v>
      </c>
      <c r="B103" s="184">
        <f>'9NA (11)'!AA30</f>
        <v>-0.4</v>
      </c>
      <c r="C103" s="22" t="s">
        <v>274</v>
      </c>
      <c r="D103" s="184">
        <f>'9NA (11)'!AA11</f>
        <v>0.8</v>
      </c>
      <c r="E103" s="22" t="s">
        <v>309</v>
      </c>
      <c r="F103" s="184">
        <f>'9NA (11)'!AA38</f>
        <v>-60.3</v>
      </c>
      <c r="G103" s="179"/>
      <c r="H103" s="215" t="s">
        <v>284</v>
      </c>
      <c r="I103" s="209" t="s">
        <v>363</v>
      </c>
      <c r="J103" s="209"/>
      <c r="K103" s="179"/>
      <c r="L103" s="179"/>
    </row>
    <row r="104" ht="15.75" customHeight="1">
      <c r="A104" s="22" t="s">
        <v>302</v>
      </c>
      <c r="B104" s="184">
        <f>'9NA (11)'!AA32</f>
        <v>1.3</v>
      </c>
      <c r="C104" s="22" t="s">
        <v>276</v>
      </c>
      <c r="D104" s="184">
        <f>'9NA (11)'!AA13</f>
        <v>0</v>
      </c>
      <c r="E104" s="22" t="s">
        <v>312</v>
      </c>
      <c r="F104" s="184">
        <f>'9NA (11)'!AA40</f>
        <v>-0.3</v>
      </c>
      <c r="G104" s="179"/>
      <c r="H104" s="209" t="s">
        <v>368</v>
      </c>
      <c r="I104" s="209"/>
      <c r="J104" s="209"/>
      <c r="K104" s="179"/>
      <c r="L104" s="179"/>
    </row>
    <row r="105" ht="15.75" customHeight="1">
      <c r="A105" s="22" t="s">
        <v>304</v>
      </c>
      <c r="B105" s="184">
        <f>'9NA (11)'!AA34</f>
        <v>0.1</v>
      </c>
      <c r="C105" s="199" t="s">
        <v>279</v>
      </c>
      <c r="D105" s="184">
        <f>'9NA (11)'!AA15</f>
        <v>0</v>
      </c>
      <c r="E105" s="22" t="s">
        <v>317</v>
      </c>
      <c r="F105" s="184">
        <f>'9NA (11)'!AA44</f>
        <v>0.1</v>
      </c>
      <c r="G105" s="179"/>
      <c r="H105" s="179"/>
      <c r="I105" s="179"/>
      <c r="J105" s="179"/>
      <c r="K105" s="179"/>
      <c r="L105" s="179"/>
    </row>
    <row r="106" ht="15.75" customHeight="1">
      <c r="A106" s="22" t="s">
        <v>307</v>
      </c>
      <c r="B106" s="184">
        <f>'9NA (11)'!AA37</f>
        <v>0.7</v>
      </c>
      <c r="C106" s="22" t="s">
        <v>281</v>
      </c>
      <c r="D106" s="184">
        <f>'9NA (11)'!AA16</f>
        <v>0.1</v>
      </c>
      <c r="E106" s="179"/>
      <c r="F106" s="179"/>
      <c r="G106" s="179"/>
      <c r="H106" s="179"/>
      <c r="I106" s="179"/>
      <c r="J106" s="179"/>
      <c r="K106" s="179"/>
      <c r="L106" s="179"/>
    </row>
    <row r="107" ht="15.75" customHeight="1">
      <c r="A107" s="22" t="s">
        <v>316</v>
      </c>
      <c r="B107" s="184">
        <f>'9NA (11)'!AA43</f>
        <v>0.8</v>
      </c>
      <c r="C107" s="22" t="s">
        <v>282</v>
      </c>
      <c r="D107" s="184">
        <f>'9NA (11)'!AA17</f>
        <v>-0.4</v>
      </c>
      <c r="E107" s="179"/>
      <c r="F107" s="179"/>
      <c r="G107" s="179"/>
      <c r="H107" s="200" t="s">
        <v>354</v>
      </c>
      <c r="I107" s="179"/>
      <c r="J107" s="179"/>
      <c r="K107" s="179"/>
      <c r="L107" s="179"/>
    </row>
    <row r="108" ht="15.75" customHeight="1">
      <c r="A108" s="179"/>
      <c r="B108" s="179"/>
      <c r="C108" s="22" t="s">
        <v>285</v>
      </c>
      <c r="D108" s="184">
        <f>'9NA (11)'!AA19</f>
        <v>1.1</v>
      </c>
      <c r="E108" s="179"/>
      <c r="F108" s="179"/>
      <c r="G108" s="179"/>
      <c r="H108" s="201" t="s">
        <v>355</v>
      </c>
      <c r="I108" s="179"/>
      <c r="J108" s="179"/>
      <c r="K108" s="179"/>
      <c r="L108" s="179"/>
    </row>
    <row r="109" ht="15.75" customHeight="1">
      <c r="A109" s="179"/>
      <c r="B109" s="179"/>
      <c r="C109" s="22" t="s">
        <v>286</v>
      </c>
      <c r="D109" s="184">
        <f>'9NA (11)'!AA20</f>
        <v>0.7</v>
      </c>
      <c r="E109" s="179"/>
      <c r="F109" s="179"/>
      <c r="G109" s="179"/>
      <c r="H109" s="202" t="s">
        <v>356</v>
      </c>
      <c r="I109" s="179"/>
      <c r="J109" s="179"/>
      <c r="K109" s="179"/>
      <c r="L109" s="179"/>
    </row>
    <row r="110" ht="15.75" customHeight="1">
      <c r="A110" s="179"/>
      <c r="B110" s="179"/>
      <c r="C110" s="22" t="s">
        <v>287</v>
      </c>
      <c r="D110" s="184">
        <f>'9NA (11)'!AA21</f>
        <v>-66.2</v>
      </c>
      <c r="E110" s="179"/>
      <c r="F110" s="179"/>
      <c r="G110" s="179"/>
      <c r="H110" s="203" t="s">
        <v>357</v>
      </c>
      <c r="I110" s="179"/>
      <c r="J110" s="179"/>
      <c r="K110" s="179"/>
      <c r="L110" s="179"/>
    </row>
    <row r="111" ht="15.75" customHeight="1">
      <c r="A111" s="179"/>
      <c r="B111" s="179"/>
      <c r="C111" s="22" t="s">
        <v>293</v>
      </c>
      <c r="D111" s="184">
        <f>'9NA (11)'!AA25</f>
        <v>0.4</v>
      </c>
      <c r="E111" s="179"/>
      <c r="F111" s="179"/>
      <c r="G111" s="179"/>
      <c r="H111" s="204" t="s">
        <v>358</v>
      </c>
      <c r="I111" s="179"/>
      <c r="J111" s="179"/>
      <c r="K111" s="179"/>
      <c r="L111" s="179"/>
    </row>
    <row r="112" ht="15.75" customHeight="1">
      <c r="A112" s="179"/>
      <c r="B112" s="179"/>
      <c r="C112" s="22" t="s">
        <v>294</v>
      </c>
      <c r="D112" s="184">
        <f>'9NA (11)'!AA26</f>
        <v>-0.1</v>
      </c>
      <c r="E112" s="179"/>
      <c r="F112" s="179"/>
      <c r="G112" s="179"/>
      <c r="H112" s="205" t="s">
        <v>74</v>
      </c>
      <c r="I112" s="179"/>
      <c r="J112" s="179"/>
      <c r="K112" s="179"/>
      <c r="L112" s="179"/>
    </row>
    <row r="113" ht="15.75" customHeight="1">
      <c r="A113" s="179"/>
      <c r="B113" s="179"/>
      <c r="C113" s="22" t="s">
        <v>295</v>
      </c>
      <c r="D113" s="184">
        <f>'9NA (11)'!AA27</f>
        <v>-0.2</v>
      </c>
      <c r="E113" s="179"/>
      <c r="F113" s="179"/>
      <c r="G113" s="179"/>
      <c r="H113" s="206" t="s">
        <v>360</v>
      </c>
      <c r="I113" s="179"/>
      <c r="J113" s="179"/>
      <c r="K113" s="179"/>
      <c r="L113" s="179"/>
    </row>
    <row r="114" ht="15.75" customHeight="1">
      <c r="A114" s="179"/>
      <c r="B114" s="179"/>
      <c r="C114" s="22" t="s">
        <v>296</v>
      </c>
      <c r="D114" s="184">
        <f>'9NA (11)'!AA28</f>
        <v>-0.4</v>
      </c>
      <c r="E114" s="179"/>
      <c r="F114" s="179"/>
      <c r="G114" s="179"/>
      <c r="H114" s="207" t="s">
        <v>361</v>
      </c>
      <c r="I114" s="179"/>
      <c r="J114" s="179"/>
      <c r="K114" s="179"/>
      <c r="L114" s="179"/>
    </row>
    <row r="115" ht="15.75" customHeight="1">
      <c r="A115" s="179"/>
      <c r="B115" s="179"/>
      <c r="C115" s="22" t="s">
        <v>301</v>
      </c>
      <c r="D115" s="184">
        <f>'9NA (11)'!AA31</f>
        <v>0.2</v>
      </c>
      <c r="E115" s="179"/>
      <c r="F115" s="179"/>
      <c r="G115" s="179"/>
      <c r="H115" s="205" t="s">
        <v>17</v>
      </c>
      <c r="I115" s="179"/>
      <c r="J115" s="179"/>
      <c r="K115" s="179"/>
      <c r="L115" s="179"/>
    </row>
    <row r="116" ht="15.75" customHeight="1">
      <c r="A116" s="179"/>
      <c r="B116" s="179"/>
      <c r="C116" s="22" t="s">
        <v>305</v>
      </c>
      <c r="D116" s="184">
        <f>'9NA (11)'!AA35</f>
        <v>-0.5</v>
      </c>
      <c r="E116" s="179"/>
      <c r="F116" s="179"/>
      <c r="G116" s="179"/>
      <c r="H116" s="207" t="s">
        <v>360</v>
      </c>
      <c r="I116" s="179"/>
      <c r="J116" s="179"/>
      <c r="K116" s="179"/>
      <c r="L116" s="179"/>
    </row>
    <row r="117" ht="15.75" customHeight="1">
      <c r="A117" s="179"/>
      <c r="B117" s="179"/>
      <c r="C117" s="199" t="s">
        <v>306</v>
      </c>
      <c r="D117" s="184">
        <f>'9NA (11)'!AA36</f>
        <v>0.6</v>
      </c>
      <c r="E117" s="179"/>
      <c r="F117" s="179"/>
      <c r="G117" s="179"/>
      <c r="H117" s="206" t="s">
        <v>361</v>
      </c>
      <c r="I117" s="179"/>
      <c r="J117" s="179"/>
      <c r="K117" s="179"/>
      <c r="L117" s="179"/>
    </row>
    <row r="118" ht="15.75" customHeight="1">
      <c r="A118" s="179"/>
      <c r="B118" s="179"/>
      <c r="C118" s="22" t="s">
        <v>310</v>
      </c>
      <c r="D118" s="184">
        <f>'9NA (11)'!AA39</f>
        <v>0.7</v>
      </c>
      <c r="E118" s="179"/>
      <c r="F118" s="179"/>
      <c r="G118" s="179"/>
      <c r="H118" s="179"/>
      <c r="I118" s="179"/>
      <c r="J118" s="179"/>
      <c r="K118" s="179"/>
      <c r="L118" s="179"/>
    </row>
    <row r="119" ht="15.75" customHeight="1">
      <c r="A119" s="179"/>
      <c r="B119" s="179"/>
      <c r="C119" s="22" t="s">
        <v>313</v>
      </c>
      <c r="D119" s="184">
        <f>'9NA (11)'!AA41</f>
        <v>63.8</v>
      </c>
      <c r="E119" s="179"/>
      <c r="F119" s="179"/>
      <c r="G119" s="179"/>
      <c r="H119" s="179"/>
      <c r="I119" s="179"/>
      <c r="J119" s="179"/>
      <c r="K119" s="179"/>
      <c r="L119" s="179"/>
    </row>
    <row r="120" ht="15.75" customHeight="1">
      <c r="A120" s="179"/>
      <c r="B120" s="179"/>
      <c r="C120" s="199" t="s">
        <v>315</v>
      </c>
      <c r="D120" s="184">
        <f>'9NA (11)'!AA42</f>
        <v>-0.7</v>
      </c>
      <c r="E120" s="179"/>
      <c r="F120" s="179"/>
      <c r="G120" s="179"/>
      <c r="H120" s="179"/>
      <c r="I120" s="179"/>
      <c r="J120" s="179"/>
      <c r="K120" s="179"/>
      <c r="L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</row>
    <row r="123" ht="15.75" customHeight="1">
      <c r="A123" s="178" t="s">
        <v>369</v>
      </c>
      <c r="G123" s="216"/>
      <c r="H123" s="216"/>
      <c r="I123" s="216"/>
      <c r="J123" s="216"/>
      <c r="K123" s="216"/>
      <c r="L123" s="216"/>
    </row>
    <row r="124" ht="15.75" customHeight="1">
      <c r="A124" s="180" t="s">
        <v>74</v>
      </c>
      <c r="B124" s="181"/>
      <c r="C124" s="182" t="s">
        <v>14</v>
      </c>
      <c r="D124" s="181"/>
      <c r="E124" s="216"/>
      <c r="F124" s="216"/>
      <c r="G124" s="216"/>
      <c r="H124" s="216"/>
      <c r="I124" s="216"/>
      <c r="J124" s="216"/>
      <c r="K124" s="216"/>
      <c r="L124" s="216"/>
    </row>
    <row r="125" ht="15.75" customHeight="1">
      <c r="A125" s="217" t="s">
        <v>370</v>
      </c>
      <c r="B125" s="83">
        <f>'4TA'!AE20</f>
        <v>-0.8</v>
      </c>
      <c r="C125" s="218" t="s">
        <v>371</v>
      </c>
      <c r="D125" s="83">
        <f>'5TA (07)'!AE14</f>
        <v>0</v>
      </c>
      <c r="E125" s="216"/>
      <c r="F125" s="216"/>
      <c r="G125" s="216"/>
      <c r="H125" s="216"/>
      <c r="I125" s="216"/>
      <c r="J125" s="216"/>
      <c r="K125" s="216"/>
      <c r="L125" s="216"/>
    </row>
    <row r="126" ht="15.75" customHeight="1">
      <c r="A126" s="219" t="s">
        <v>372</v>
      </c>
      <c r="B126" s="83">
        <f>'4TA'!AE25</f>
        <v>-0.2</v>
      </c>
      <c r="C126" s="220" t="s">
        <v>373</v>
      </c>
      <c r="D126" s="83">
        <f>'5TA (07)'!AE18</f>
        <v>-0.8</v>
      </c>
      <c r="E126" s="216"/>
      <c r="F126" s="216"/>
      <c r="G126" s="216"/>
      <c r="H126" s="216"/>
      <c r="I126" s="216"/>
      <c r="J126" s="216"/>
      <c r="K126" s="216"/>
      <c r="L126" s="216"/>
    </row>
    <row r="127" ht="15.75" customHeight="1">
      <c r="A127" s="218" t="s">
        <v>374</v>
      </c>
      <c r="B127" s="83">
        <f>'5TA (07)'!AE22</f>
        <v>0.8</v>
      </c>
      <c r="C127" s="221"/>
      <c r="D127" s="221"/>
      <c r="E127" s="216"/>
      <c r="F127" s="216"/>
      <c r="G127" s="216"/>
      <c r="H127" s="216"/>
      <c r="I127" s="216"/>
      <c r="J127" s="216"/>
      <c r="K127" s="216"/>
      <c r="L127" s="216"/>
    </row>
    <row r="128" ht="15.75" customHeight="1">
      <c r="A128" s="222" t="s">
        <v>375</v>
      </c>
      <c r="B128" s="83">
        <f>'6TA (08)'!AE29</f>
        <v>0</v>
      </c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</row>
    <row r="129" ht="15.75" customHeight="1">
      <c r="A129" s="223" t="s">
        <v>376</v>
      </c>
      <c r="B129" s="83">
        <f>'6TA (08)'!AE34</f>
        <v>-1.4</v>
      </c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</row>
    <row r="130" ht="15.75" customHeight="1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</row>
    <row r="131" ht="15.75" customHeight="1">
      <c r="A131" s="178" t="s">
        <v>377</v>
      </c>
      <c r="G131" s="216"/>
      <c r="H131" s="216"/>
      <c r="I131" s="216"/>
      <c r="J131" s="216"/>
      <c r="K131" s="216"/>
      <c r="L131" s="216"/>
    </row>
    <row r="132" ht="15.75" customHeight="1">
      <c r="A132" s="180" t="s">
        <v>74</v>
      </c>
      <c r="B132" s="181"/>
      <c r="C132" s="182" t="s">
        <v>14</v>
      </c>
      <c r="D132" s="181"/>
      <c r="E132" s="183" t="s">
        <v>17</v>
      </c>
      <c r="F132" s="181"/>
      <c r="G132" s="216"/>
      <c r="H132" s="216"/>
      <c r="I132" s="216"/>
      <c r="J132" s="216"/>
      <c r="K132" s="216"/>
      <c r="L132" s="216"/>
    </row>
    <row r="133" ht="15.75" customHeight="1">
      <c r="A133" s="218" t="s">
        <v>378</v>
      </c>
      <c r="B133" s="83">
        <f>'7MA (09)'!AD29</f>
        <v>0.1</v>
      </c>
      <c r="C133" s="218" t="s">
        <v>379</v>
      </c>
      <c r="D133" s="83">
        <f>'7MA (09)'!AD32</f>
        <v>0.6</v>
      </c>
      <c r="E133" s="218" t="s">
        <v>380</v>
      </c>
      <c r="F133" s="83">
        <f>'9NA (11)'!AA33</f>
        <v>-1.2</v>
      </c>
      <c r="G133" s="216"/>
      <c r="H133" s="216"/>
      <c r="I133" s="216"/>
      <c r="J133" s="216"/>
      <c r="K133" s="216"/>
      <c r="L133" s="216"/>
    </row>
    <row r="134" ht="15.75" customHeight="1">
      <c r="A134" s="224" t="s">
        <v>381</v>
      </c>
      <c r="B134" s="83">
        <f>'8VA (10)'!AB4</f>
        <v>-0.6</v>
      </c>
      <c r="C134" s="224" t="s">
        <v>382</v>
      </c>
      <c r="D134" s="83">
        <f>'7MA (09)'!AD37</f>
        <v>0</v>
      </c>
      <c r="E134" s="216"/>
      <c r="F134" s="216"/>
      <c r="G134" s="216"/>
      <c r="H134" s="216"/>
      <c r="I134" s="216"/>
      <c r="J134" s="216"/>
      <c r="K134" s="216"/>
      <c r="L134" s="216"/>
    </row>
    <row r="135" ht="15.75" customHeight="1">
      <c r="A135" s="216"/>
      <c r="B135" s="216"/>
      <c r="C135" s="218" t="s">
        <v>383</v>
      </c>
      <c r="D135" s="83">
        <f>'8VA (10)'!AB9</f>
        <v>-1</v>
      </c>
      <c r="E135" s="216"/>
      <c r="F135" s="216"/>
      <c r="G135" s="216"/>
      <c r="H135" s="216"/>
      <c r="I135" s="216"/>
      <c r="J135" s="216"/>
      <c r="K135" s="216"/>
      <c r="L135" s="216"/>
    </row>
    <row r="136" ht="15.75" customHeight="1">
      <c r="A136" s="216"/>
      <c r="B136" s="216"/>
      <c r="C136" s="218" t="s">
        <v>384</v>
      </c>
      <c r="D136" s="83">
        <f>'8VA (10)'!AB15</f>
        <v>-0.2</v>
      </c>
      <c r="E136" s="216"/>
      <c r="F136" s="216"/>
      <c r="G136" s="216"/>
      <c r="H136" s="216"/>
      <c r="I136" s="216"/>
      <c r="J136" s="216"/>
      <c r="K136" s="216"/>
      <c r="L136" s="216"/>
    </row>
    <row r="137" ht="15.75" customHeight="1">
      <c r="A137" s="216"/>
      <c r="B137" s="216"/>
      <c r="C137" s="218" t="s">
        <v>385</v>
      </c>
      <c r="D137" s="83">
        <f>'9NA (11)'!AA28</f>
        <v>-0.4</v>
      </c>
      <c r="E137" s="216"/>
      <c r="F137" s="216"/>
      <c r="G137" s="216"/>
      <c r="H137" s="216"/>
      <c r="I137" s="216"/>
      <c r="J137" s="216"/>
      <c r="K137" s="216"/>
      <c r="L137" s="216"/>
    </row>
    <row r="138" ht="15.75" customHeight="1">
      <c r="A138" s="216"/>
      <c r="B138" s="216"/>
      <c r="C138" s="225" t="s">
        <v>386</v>
      </c>
      <c r="D138" s="83">
        <f>'9NA (11)'!AA36</f>
        <v>0.6</v>
      </c>
      <c r="E138" s="216"/>
      <c r="F138" s="216"/>
      <c r="G138" s="216"/>
      <c r="H138" s="216"/>
      <c r="I138" s="216"/>
      <c r="J138" s="216"/>
      <c r="K138" s="216"/>
      <c r="L138" s="216"/>
    </row>
    <row r="139" ht="15.75" customHeight="1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</row>
    <row r="140" ht="15.75" customHeight="1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</row>
    <row r="141" ht="15.75" customHeight="1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</row>
    <row r="142" ht="15.75" customHeight="1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</row>
    <row r="143" ht="15.75" customHeight="1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</row>
    <row r="144" ht="15.75" customHeight="1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</row>
    <row r="145" ht="15.75" customHeight="1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</row>
    <row r="146" ht="15.75" customHeight="1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</row>
    <row r="147" ht="15.75" customHeight="1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</row>
    <row r="148" ht="15.75" customHeight="1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</row>
    <row r="149" ht="15.75" customHeight="1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</row>
    <row r="150" ht="15.75" customHeight="1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</row>
    <row r="151" ht="15.75" customHeight="1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</row>
    <row r="152" ht="15.75" customHeight="1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</row>
    <row r="153" ht="15.75" customHeight="1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</row>
    <row r="154" ht="15.75" customHeight="1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</row>
    <row r="155" ht="15.75" customHeight="1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</row>
    <row r="156" ht="15.75" customHeight="1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</row>
    <row r="157" ht="15.75" customHeight="1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</row>
    <row r="158" ht="15.75" customHeight="1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</row>
    <row r="159" ht="15.75" customHeight="1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</row>
    <row r="160" ht="15.75" customHeight="1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</row>
    <row r="161" ht="15.75" customHeight="1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</row>
    <row r="162" ht="15.75" customHeight="1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</row>
    <row r="163" ht="15.75" customHeight="1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</row>
    <row r="164" ht="15.75" customHeight="1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</row>
    <row r="165" ht="15.75" customHeight="1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</row>
    <row r="166" ht="15.75" customHeight="1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</row>
    <row r="167" ht="15.75" customHeight="1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</row>
    <row r="168" ht="15.75" customHeight="1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</row>
    <row r="169" ht="15.75" customHeight="1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</row>
    <row r="170" ht="15.75" customHeight="1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</row>
    <row r="171" ht="15.75" customHeight="1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</row>
    <row r="172" ht="15.75" customHeight="1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</row>
    <row r="173" ht="15.75" customHeight="1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E97:F97"/>
    <mergeCell ref="A123:F123"/>
    <mergeCell ref="A124:B124"/>
    <mergeCell ref="C124:D124"/>
    <mergeCell ref="A131:F131"/>
    <mergeCell ref="A132:B132"/>
    <mergeCell ref="C132:D132"/>
    <mergeCell ref="E132:F132"/>
    <mergeCell ref="A96:F96"/>
    <mergeCell ref="H96:L96"/>
    <mergeCell ref="A97:B97"/>
    <mergeCell ref="C97:D97"/>
    <mergeCell ref="H97:L97"/>
    <mergeCell ref="H98:L98"/>
    <mergeCell ref="H99:L99"/>
    <mergeCell ref="A1:F1"/>
    <mergeCell ref="A2:B2"/>
    <mergeCell ref="C2:D2"/>
    <mergeCell ref="E2:F2"/>
    <mergeCell ref="H4:L4"/>
    <mergeCell ref="H5:L5"/>
    <mergeCell ref="H6:L6"/>
    <mergeCell ref="H7:L7"/>
    <mergeCell ref="A9:F9"/>
    <mergeCell ref="H9:L9"/>
    <mergeCell ref="A10:B10"/>
    <mergeCell ref="C10:D10"/>
    <mergeCell ref="E10:F10"/>
    <mergeCell ref="H10:L10"/>
    <mergeCell ref="H11:L11"/>
    <mergeCell ref="H12:L12"/>
    <mergeCell ref="A25:F25"/>
    <mergeCell ref="H25:L25"/>
    <mergeCell ref="A26:B26"/>
    <mergeCell ref="C26:D26"/>
    <mergeCell ref="E26:F26"/>
    <mergeCell ref="H40:L40"/>
    <mergeCell ref="H41:L41"/>
    <mergeCell ref="H42:L42"/>
    <mergeCell ref="H43:L43"/>
    <mergeCell ref="H26:L26"/>
    <mergeCell ref="H27:L27"/>
    <mergeCell ref="H28:L28"/>
    <mergeCell ref="A40:F40"/>
    <mergeCell ref="A41:B41"/>
    <mergeCell ref="C41:D41"/>
    <mergeCell ref="E41:F41"/>
    <mergeCell ref="H63:L63"/>
    <mergeCell ref="H64:L64"/>
    <mergeCell ref="A61:F61"/>
    <mergeCell ref="H61:L61"/>
    <mergeCell ref="A62:B62"/>
    <mergeCell ref="C62:D62"/>
    <mergeCell ref="E62:F62"/>
    <mergeCell ref="H62:L62"/>
    <mergeCell ref="E63:F63"/>
  </mergeCells>
  <conditionalFormatting sqref="B3:B5">
    <cfRule type="cellIs" dxfId="0" priority="1" operator="greaterThan">
      <formula>0.5</formula>
    </cfRule>
  </conditionalFormatting>
  <conditionalFormatting sqref="D3:D7 D11:D23 D27:D38 D42:D59 D63:D94 D98:D120">
    <cfRule type="cellIs" dxfId="1" priority="2" operator="greaterThan">
      <formula>1</formula>
    </cfRule>
  </conditionalFormatting>
  <conditionalFormatting sqref="D3:D7 D11:D23 D27:D38 D42:D59 D63:D94 D98:D120">
    <cfRule type="cellIs" dxfId="0" priority="3" operator="between">
      <formula>1</formula>
      <formula>2</formula>
    </cfRule>
  </conditionalFormatting>
  <conditionalFormatting sqref="D3:D7 D11:D23 D27:D38 D42:D59 D63:D94 D98:D120">
    <cfRule type="cellIs" dxfId="2" priority="4" operator="between">
      <formula>-1</formula>
      <formula>-2</formula>
    </cfRule>
  </conditionalFormatting>
  <conditionalFormatting sqref="D3:D7 D11:D23 D27:D38 D42:D59 D63:D94 D98:D120">
    <cfRule type="cellIs" dxfId="3" priority="5" operator="lessThan">
      <formula>1</formula>
    </cfRule>
  </conditionalFormatting>
  <conditionalFormatting sqref="B3:B5 B11:B20 B27:B32 B42:B54 B63:B69 B98:B107">
    <cfRule type="cellIs" dxfId="4" priority="6" operator="lessThan">
      <formula>-0.5</formula>
    </cfRule>
  </conditionalFormatting>
  <conditionalFormatting sqref="B3:B5 B11:B20 B27:B32 B42:B54 B63:B69 B98:B107">
    <cfRule type="cellIs" dxfId="0" priority="7" operator="greaterThanOrEqual">
      <formula>0.5</formula>
    </cfRule>
  </conditionalFormatting>
  <conditionalFormatting sqref="B3:B5 B11:B20 B27:B32 B42:B54 B63:B69 B98:B107">
    <cfRule type="cellIs" dxfId="5" priority="8" operator="lessThan">
      <formula>0.5</formula>
    </cfRule>
  </conditionalFormatting>
  <conditionalFormatting sqref="F3:F4 F11:F13 F27 F42:F46 F98:F105">
    <cfRule type="cellIs" dxfId="6" priority="9" operator="greaterThanOrEqual">
      <formula>0.5</formula>
    </cfRule>
  </conditionalFormatting>
  <conditionalFormatting sqref="F3:F4 F11:F13 F27 F42:F46 F98:F105">
    <cfRule type="cellIs" dxfId="0" priority="10" operator="lessThan">
      <formula>0.5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3.88"/>
    <col customWidth="1" min="3" max="3" width="22.38"/>
    <col customWidth="1" min="4" max="4" width="24.25"/>
    <col customWidth="1" min="5" max="5" width="18.0"/>
    <col customWidth="1" min="6" max="6" width="12.63"/>
  </cols>
  <sheetData>
    <row r="1" ht="15.75" customHeight="1">
      <c r="A1" s="226" t="s">
        <v>387</v>
      </c>
      <c r="B1" s="187"/>
      <c r="C1" s="187"/>
      <c r="D1" s="187"/>
      <c r="E1" s="188"/>
      <c r="F1" s="227"/>
      <c r="G1" s="227"/>
      <c r="H1" s="227"/>
      <c r="I1" s="227"/>
      <c r="J1" s="227"/>
      <c r="K1" s="227"/>
    </row>
    <row r="2" ht="15.75" customHeight="1">
      <c r="A2" s="228"/>
      <c r="E2" s="193"/>
      <c r="F2" s="227"/>
      <c r="G2" s="227"/>
      <c r="H2" s="227"/>
      <c r="I2" s="227"/>
      <c r="J2" s="227"/>
      <c r="K2" s="227"/>
    </row>
    <row r="3" ht="15.75" customHeight="1">
      <c r="A3" s="229"/>
      <c r="B3" s="195"/>
      <c r="C3" s="195"/>
      <c r="D3" s="195"/>
      <c r="E3" s="196"/>
      <c r="F3" s="230"/>
      <c r="G3" s="227"/>
      <c r="H3" s="227"/>
      <c r="I3" s="227"/>
      <c r="J3" s="227"/>
      <c r="K3" s="227"/>
    </row>
    <row r="4" ht="15.75" customHeight="1">
      <c r="A4" s="227"/>
      <c r="B4" s="227"/>
      <c r="C4" s="227"/>
      <c r="D4" s="227"/>
      <c r="E4" s="227"/>
      <c r="F4" s="230"/>
      <c r="G4" s="227"/>
      <c r="H4" s="227"/>
      <c r="I4" s="227"/>
      <c r="J4" s="227"/>
      <c r="K4" s="227"/>
    </row>
    <row r="5" ht="15.75" customHeight="1">
      <c r="A5" s="231"/>
      <c r="B5" s="232"/>
      <c r="C5" s="227"/>
      <c r="D5" s="227"/>
      <c r="E5" s="227"/>
      <c r="F5" s="227"/>
      <c r="G5" s="227"/>
      <c r="H5" s="227"/>
      <c r="I5" s="227"/>
      <c r="J5" s="227"/>
      <c r="K5" s="227"/>
    </row>
    <row r="6" ht="15.75" customHeight="1">
      <c r="A6" s="233" t="s">
        <v>388</v>
      </c>
      <c r="B6" s="234">
        <v>45917.0</v>
      </c>
      <c r="C6" s="132"/>
      <c r="D6" s="227"/>
      <c r="E6" s="230"/>
      <c r="F6" s="230"/>
      <c r="G6" s="227"/>
      <c r="H6" s="227"/>
      <c r="I6" s="227"/>
      <c r="J6" s="227"/>
      <c r="K6" s="227"/>
    </row>
    <row r="7" ht="15.75" customHeight="1">
      <c r="A7" s="141"/>
      <c r="B7" s="141"/>
      <c r="C7" s="132"/>
      <c r="D7" s="227"/>
      <c r="E7" s="230"/>
      <c r="F7" s="230"/>
      <c r="G7" s="227"/>
      <c r="H7" s="227"/>
      <c r="I7" s="227"/>
      <c r="J7" s="227"/>
      <c r="K7" s="227"/>
    </row>
    <row r="8" ht="15.75" customHeight="1">
      <c r="A8" s="235" t="s">
        <v>389</v>
      </c>
      <c r="B8" s="236" t="s">
        <v>390</v>
      </c>
      <c r="C8" s="237"/>
      <c r="D8" s="236" t="s">
        <v>391</v>
      </c>
      <c r="E8" s="238"/>
      <c r="F8" s="227"/>
      <c r="G8" s="227"/>
      <c r="H8" s="227"/>
      <c r="I8" s="227"/>
      <c r="J8" s="227"/>
      <c r="K8" s="227"/>
    </row>
    <row r="9" ht="15.75" customHeight="1">
      <c r="A9" s="218" t="s">
        <v>13</v>
      </c>
      <c r="B9" s="239" t="s">
        <v>392</v>
      </c>
      <c r="C9" s="240" t="s">
        <v>83</v>
      </c>
      <c r="D9" s="241" t="s">
        <v>392</v>
      </c>
      <c r="E9" s="240" t="s">
        <v>74</v>
      </c>
      <c r="F9" s="227"/>
      <c r="G9" s="227"/>
      <c r="H9" s="227"/>
      <c r="I9" s="227"/>
      <c r="J9" s="227"/>
      <c r="K9" s="227"/>
    </row>
    <row r="10" ht="15.75" customHeight="1">
      <c r="A10" s="242" t="s">
        <v>32</v>
      </c>
      <c r="B10" s="243" t="s">
        <v>20</v>
      </c>
      <c r="C10" s="243">
        <v>-0.4000000000000057</v>
      </c>
      <c r="D10" s="243" t="s">
        <v>27</v>
      </c>
      <c r="E10" s="244">
        <v>-0.6999999999999957</v>
      </c>
      <c r="F10" s="227"/>
      <c r="G10" s="227"/>
      <c r="H10" s="227"/>
      <c r="I10" s="227"/>
      <c r="J10" s="227"/>
      <c r="K10" s="227"/>
    </row>
    <row r="11" ht="15.75" customHeight="1">
      <c r="A11" s="230"/>
      <c r="B11" s="245" t="s">
        <v>28</v>
      </c>
      <c r="C11" s="246">
        <v>-0.5</v>
      </c>
      <c r="D11" s="227"/>
      <c r="E11" s="230"/>
      <c r="F11" s="247"/>
      <c r="G11" s="227"/>
      <c r="H11" s="227"/>
      <c r="I11" s="227"/>
      <c r="J11" s="227"/>
      <c r="K11" s="227"/>
    </row>
    <row r="12" ht="15.75" customHeight="1">
      <c r="A12" s="230"/>
      <c r="B12" s="236" t="s">
        <v>393</v>
      </c>
      <c r="C12" s="238"/>
      <c r="D12" s="227"/>
      <c r="E12" s="230"/>
      <c r="F12" s="247"/>
      <c r="G12" s="227"/>
      <c r="H12" s="227"/>
      <c r="I12" s="227"/>
      <c r="J12" s="227"/>
      <c r="K12" s="227"/>
    </row>
    <row r="13" ht="15.75" customHeight="1">
      <c r="A13" s="230"/>
      <c r="B13" s="132"/>
      <c r="C13" s="132"/>
      <c r="D13" s="227"/>
      <c r="E13" s="230"/>
      <c r="F13" s="230"/>
      <c r="G13" s="227"/>
      <c r="H13" s="227"/>
      <c r="I13" s="227"/>
      <c r="J13" s="227"/>
      <c r="K13" s="227"/>
    </row>
    <row r="14" ht="15.75" customHeight="1">
      <c r="A14" s="132"/>
      <c r="B14" s="132"/>
      <c r="C14" s="132"/>
      <c r="D14" s="132"/>
      <c r="E14" s="227"/>
      <c r="F14" s="247"/>
      <c r="G14" s="227"/>
      <c r="H14" s="227"/>
      <c r="I14" s="227"/>
      <c r="J14" s="227"/>
      <c r="K14" s="227"/>
    </row>
    <row r="15" ht="15.75" customHeight="1">
      <c r="A15" s="132"/>
      <c r="B15" s="132"/>
      <c r="C15" s="132"/>
      <c r="D15" s="227"/>
      <c r="E15" s="230"/>
      <c r="F15" s="230"/>
      <c r="G15" s="227"/>
      <c r="H15" s="227"/>
      <c r="I15" s="227"/>
      <c r="J15" s="227"/>
      <c r="K15" s="227"/>
    </row>
    <row r="16" ht="15.75" customHeight="1">
      <c r="A16" s="132"/>
      <c r="B16" s="132"/>
      <c r="C16" s="132"/>
      <c r="D16" s="132"/>
      <c r="E16" s="227"/>
      <c r="F16" s="227"/>
      <c r="G16" s="227"/>
      <c r="H16" s="227"/>
      <c r="I16" s="227"/>
      <c r="J16" s="227"/>
      <c r="K16" s="227"/>
    </row>
    <row r="17" ht="15.75" customHeight="1">
      <c r="A17" s="132"/>
      <c r="B17" s="248" t="s">
        <v>394</v>
      </c>
      <c r="C17" s="238"/>
      <c r="D17" s="247"/>
      <c r="E17" s="227"/>
      <c r="F17" s="227"/>
      <c r="G17" s="227"/>
      <c r="H17" s="227"/>
      <c r="I17" s="227"/>
      <c r="J17" s="227"/>
      <c r="K17" s="227"/>
    </row>
    <row r="18" ht="15.75" customHeight="1">
      <c r="A18" s="132"/>
      <c r="B18" s="249" t="s">
        <v>395</v>
      </c>
      <c r="C18" s="250" t="s">
        <v>396</v>
      </c>
      <c r="D18" s="132"/>
      <c r="E18" s="227"/>
      <c r="F18" s="227"/>
      <c r="G18" s="227"/>
      <c r="H18" s="227"/>
      <c r="I18" s="227"/>
      <c r="J18" s="227"/>
      <c r="K18" s="227"/>
    </row>
    <row r="19" ht="15.75" customHeight="1">
      <c r="A19" s="132"/>
      <c r="B19" s="251" t="s">
        <v>397</v>
      </c>
      <c r="C19" s="252" t="s">
        <v>398</v>
      </c>
      <c r="D19" s="132"/>
      <c r="E19" s="227"/>
      <c r="F19" s="227"/>
      <c r="G19" s="227"/>
      <c r="H19" s="227"/>
      <c r="I19" s="227"/>
      <c r="J19" s="227"/>
      <c r="K19" s="227"/>
    </row>
    <row r="20" ht="15.75" customHeight="1">
      <c r="A20" s="132"/>
      <c r="B20" s="132"/>
      <c r="C20" s="132"/>
      <c r="D20" s="132"/>
      <c r="E20" s="227"/>
      <c r="F20" s="227"/>
      <c r="G20" s="227"/>
      <c r="H20" s="227"/>
      <c r="I20" s="227"/>
      <c r="J20" s="227"/>
      <c r="K20" s="227"/>
    </row>
    <row r="21" ht="15.75" customHeight="1">
      <c r="A21" s="132"/>
      <c r="B21" s="132"/>
      <c r="C21" s="132"/>
      <c r="D21" s="132"/>
      <c r="E21" s="227"/>
      <c r="F21" s="227"/>
      <c r="G21" s="227"/>
      <c r="H21" s="227"/>
      <c r="I21" s="227"/>
      <c r="J21" s="227"/>
      <c r="K21" s="227"/>
    </row>
    <row r="22" ht="15.75" customHeight="1">
      <c r="A22" s="132"/>
      <c r="B22" s="132"/>
      <c r="C22" s="132"/>
      <c r="D22" s="132"/>
      <c r="E22" s="227"/>
      <c r="F22" s="227"/>
      <c r="G22" s="227"/>
      <c r="H22" s="227"/>
      <c r="I22" s="227"/>
      <c r="J22" s="227"/>
      <c r="K22" s="227"/>
    </row>
    <row r="23" ht="15.75" customHeight="1">
      <c r="A23" s="230"/>
      <c r="B23" s="132"/>
      <c r="C23" s="132"/>
      <c r="D23" s="132"/>
      <c r="E23" s="227"/>
      <c r="F23" s="227"/>
      <c r="G23" s="227"/>
      <c r="H23" s="227"/>
      <c r="I23" s="227"/>
      <c r="J23" s="227"/>
      <c r="K23" s="227"/>
    </row>
    <row r="24" ht="15.75" customHeight="1">
      <c r="A24" s="132"/>
      <c r="B24" s="132"/>
      <c r="C24" s="132"/>
      <c r="D24" s="132"/>
      <c r="E24" s="227"/>
      <c r="F24" s="227"/>
      <c r="G24" s="227"/>
      <c r="H24" s="227"/>
      <c r="I24" s="227"/>
      <c r="J24" s="227"/>
      <c r="K24" s="227"/>
    </row>
    <row r="25" ht="15.75" customHeight="1">
      <c r="A25" s="132"/>
      <c r="B25" s="132"/>
      <c r="C25" s="132"/>
      <c r="D25" s="132"/>
      <c r="E25" s="227"/>
      <c r="F25" s="227"/>
      <c r="G25" s="227"/>
      <c r="H25" s="227"/>
      <c r="I25" s="227"/>
      <c r="J25" s="227"/>
      <c r="K25" s="227"/>
    </row>
    <row r="26" ht="15.75" customHeight="1">
      <c r="A26" s="132"/>
      <c r="B26" s="132"/>
      <c r="C26" s="132"/>
      <c r="D26" s="132"/>
      <c r="E26" s="227"/>
      <c r="F26" s="227"/>
      <c r="G26" s="227"/>
      <c r="H26" s="227"/>
      <c r="I26" s="227"/>
      <c r="J26" s="227"/>
      <c r="K26" s="227"/>
    </row>
    <row r="27" ht="15.75" customHeight="1">
      <c r="A27" s="132"/>
      <c r="B27" s="132"/>
      <c r="C27" s="132"/>
      <c r="D27" s="132"/>
      <c r="E27" s="227"/>
      <c r="F27" s="227"/>
      <c r="G27" s="227"/>
      <c r="H27" s="227"/>
      <c r="I27" s="227"/>
      <c r="J27" s="227"/>
      <c r="K27" s="227"/>
    </row>
    <row r="28" ht="15.75" customHeight="1">
      <c r="A28" s="132"/>
      <c r="B28" s="132"/>
      <c r="C28" s="132"/>
      <c r="D28" s="132"/>
      <c r="E28" s="227"/>
      <c r="F28" s="227"/>
      <c r="G28" s="227"/>
      <c r="H28" s="227"/>
      <c r="I28" s="227"/>
      <c r="J28" s="227"/>
      <c r="K28" s="227"/>
    </row>
    <row r="29" ht="15.75" customHeight="1">
      <c r="A29" s="132"/>
      <c r="B29" s="132"/>
      <c r="C29" s="132"/>
      <c r="D29" s="132"/>
      <c r="E29" s="227"/>
      <c r="F29" s="227"/>
      <c r="G29" s="227"/>
      <c r="H29" s="227"/>
      <c r="I29" s="227"/>
      <c r="J29" s="227"/>
      <c r="K29" s="227"/>
    </row>
    <row r="30" ht="15.75" customHeight="1">
      <c r="A30" s="132"/>
      <c r="B30" s="132"/>
      <c r="C30" s="132"/>
      <c r="D30" s="132"/>
      <c r="E30" s="227"/>
      <c r="F30" s="227"/>
      <c r="G30" s="227"/>
      <c r="H30" s="227"/>
      <c r="I30" s="227"/>
      <c r="J30" s="227"/>
      <c r="K30" s="227"/>
    </row>
    <row r="31" ht="15.75" customHeight="1">
      <c r="A31" s="132"/>
      <c r="B31" s="132"/>
      <c r="C31" s="132"/>
      <c r="D31" s="132"/>
      <c r="E31" s="227"/>
      <c r="F31" s="227"/>
      <c r="G31" s="227"/>
      <c r="H31" s="227"/>
      <c r="I31" s="227"/>
      <c r="J31" s="227"/>
      <c r="K31" s="227"/>
    </row>
    <row r="32" ht="15.75" customHeight="1">
      <c r="A32" s="132"/>
      <c r="B32" s="132"/>
      <c r="C32" s="132"/>
      <c r="D32" s="132"/>
      <c r="E32" s="227"/>
      <c r="F32" s="227"/>
      <c r="G32" s="227"/>
      <c r="H32" s="227"/>
      <c r="I32" s="227"/>
      <c r="J32" s="227"/>
      <c r="K32" s="227"/>
    </row>
    <row r="33" ht="15.75" customHeight="1">
      <c r="A33" s="132"/>
      <c r="B33" s="132"/>
      <c r="C33" s="132"/>
      <c r="D33" s="132"/>
      <c r="E33" s="227"/>
      <c r="F33" s="227"/>
      <c r="G33" s="227"/>
      <c r="H33" s="227"/>
      <c r="I33" s="227"/>
      <c r="J33" s="227"/>
      <c r="K33" s="227"/>
    </row>
    <row r="34" ht="15.75" customHeight="1">
      <c r="A34" s="132"/>
      <c r="B34" s="132"/>
      <c r="C34" s="132"/>
      <c r="D34" s="132"/>
      <c r="E34" s="227"/>
      <c r="F34" s="227"/>
      <c r="G34" s="227"/>
      <c r="H34" s="227"/>
      <c r="I34" s="227"/>
      <c r="J34" s="227"/>
      <c r="K34" s="227"/>
    </row>
    <row r="35" ht="15.75" customHeight="1">
      <c r="A35" s="132"/>
      <c r="B35" s="132"/>
      <c r="C35" s="132"/>
      <c r="D35" s="132"/>
      <c r="E35" s="227"/>
      <c r="F35" s="227"/>
      <c r="G35" s="227"/>
      <c r="H35" s="227"/>
      <c r="I35" s="227"/>
      <c r="J35" s="227"/>
      <c r="K35" s="227"/>
    </row>
    <row r="36" ht="15.75" customHeight="1">
      <c r="A36" s="132"/>
      <c r="B36" s="132"/>
      <c r="C36" s="132"/>
      <c r="D36" s="132"/>
      <c r="E36" s="227"/>
      <c r="F36" s="227"/>
      <c r="G36" s="227"/>
      <c r="H36" s="227"/>
      <c r="I36" s="227"/>
      <c r="J36" s="227"/>
      <c r="K36" s="227"/>
    </row>
    <row r="37" ht="15.75" customHeight="1">
      <c r="A37" s="132"/>
      <c r="B37" s="132"/>
      <c r="C37" s="132"/>
      <c r="D37" s="132"/>
      <c r="E37" s="227"/>
      <c r="F37" s="227"/>
      <c r="G37" s="227"/>
      <c r="H37" s="227"/>
      <c r="I37" s="227"/>
      <c r="J37" s="227"/>
      <c r="K37" s="227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3"/>
    <mergeCell ref="B8:C8"/>
    <mergeCell ref="D8:E8"/>
    <mergeCell ref="B12:C12"/>
    <mergeCell ref="B17:C1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3.88"/>
    <col customWidth="1" min="3" max="3" width="22.38"/>
    <col customWidth="1" min="4" max="4" width="24.25"/>
    <col customWidth="1" min="5" max="5" width="18.0"/>
    <col customWidth="1" min="6" max="6" width="12.63"/>
  </cols>
  <sheetData>
    <row r="1" ht="15.75" customHeight="1">
      <c r="A1" s="226" t="s">
        <v>399</v>
      </c>
      <c r="B1" s="187"/>
      <c r="C1" s="187"/>
      <c r="D1" s="187"/>
      <c r="E1" s="188"/>
      <c r="F1" s="227"/>
      <c r="G1" s="227"/>
      <c r="H1" s="227"/>
      <c r="I1" s="227"/>
      <c r="J1" s="227"/>
      <c r="K1" s="227"/>
    </row>
    <row r="2" ht="15.75" customHeight="1">
      <c r="A2" s="228"/>
      <c r="E2" s="193"/>
      <c r="F2" s="227"/>
      <c r="G2" s="227"/>
      <c r="H2" s="227"/>
      <c r="I2" s="227"/>
      <c r="J2" s="227"/>
      <c r="K2" s="227"/>
    </row>
    <row r="3" ht="15.75" customHeight="1">
      <c r="A3" s="229"/>
      <c r="B3" s="195"/>
      <c r="C3" s="195"/>
      <c r="D3" s="195"/>
      <c r="E3" s="196"/>
      <c r="F3" s="230"/>
      <c r="G3" s="227"/>
      <c r="H3" s="227"/>
      <c r="I3" s="227"/>
      <c r="J3" s="227"/>
      <c r="K3" s="227"/>
    </row>
    <row r="4" ht="15.75" customHeight="1">
      <c r="A4" s="227"/>
      <c r="B4" s="227"/>
      <c r="C4" s="227"/>
      <c r="D4" s="227"/>
      <c r="E4" s="227"/>
      <c r="F4" s="230"/>
      <c r="G4" s="227"/>
      <c r="H4" s="227"/>
      <c r="I4" s="227"/>
      <c r="J4" s="227"/>
      <c r="K4" s="227"/>
    </row>
    <row r="5" ht="15.75" customHeight="1">
      <c r="A5" s="231"/>
      <c r="B5" s="232"/>
      <c r="C5" s="227"/>
      <c r="D5" s="227"/>
      <c r="E5" s="227"/>
      <c r="F5" s="227"/>
      <c r="G5" s="227"/>
      <c r="H5" s="227"/>
      <c r="I5" s="227"/>
      <c r="J5" s="227"/>
      <c r="K5" s="227"/>
    </row>
    <row r="6" ht="15.75" customHeight="1">
      <c r="A6" s="233" t="s">
        <v>388</v>
      </c>
      <c r="B6" s="234">
        <v>45917.0</v>
      </c>
      <c r="C6" s="132"/>
      <c r="D6" s="227"/>
      <c r="E6" s="230"/>
      <c r="F6" s="230"/>
      <c r="G6" s="227"/>
      <c r="H6" s="227"/>
      <c r="I6" s="227"/>
      <c r="J6" s="227"/>
      <c r="K6" s="227"/>
    </row>
    <row r="7" ht="15.75" customHeight="1">
      <c r="A7" s="141"/>
      <c r="B7" s="141"/>
      <c r="C7" s="132"/>
      <c r="D7" s="227"/>
      <c r="E7" s="230"/>
      <c r="F7" s="230"/>
      <c r="G7" s="227"/>
      <c r="H7" s="227"/>
      <c r="I7" s="253" t="s">
        <v>115</v>
      </c>
      <c r="J7" s="254"/>
      <c r="K7" s="255"/>
    </row>
    <row r="8" ht="15.75" customHeight="1">
      <c r="A8" s="235" t="s">
        <v>389</v>
      </c>
      <c r="B8" s="236" t="s">
        <v>390</v>
      </c>
      <c r="C8" s="237"/>
      <c r="D8" s="236" t="s">
        <v>391</v>
      </c>
      <c r="E8" s="238"/>
      <c r="F8" s="227"/>
      <c r="G8" s="227"/>
      <c r="H8" s="227"/>
      <c r="I8" s="254" t="s">
        <v>400</v>
      </c>
      <c r="J8" s="254"/>
      <c r="K8" s="255"/>
    </row>
    <row r="9" ht="15.75" customHeight="1">
      <c r="A9" s="218" t="s">
        <v>72</v>
      </c>
      <c r="B9" s="239" t="s">
        <v>392</v>
      </c>
      <c r="C9" s="240" t="s">
        <v>83</v>
      </c>
      <c r="D9" s="241" t="s">
        <v>392</v>
      </c>
      <c r="E9" s="240" t="s">
        <v>74</v>
      </c>
      <c r="F9" s="227"/>
      <c r="G9" s="227"/>
      <c r="H9" s="227"/>
      <c r="I9" s="254"/>
      <c r="J9" s="254"/>
      <c r="K9" s="255"/>
    </row>
    <row r="10" ht="15.75" customHeight="1">
      <c r="A10" s="242" t="s">
        <v>76</v>
      </c>
      <c r="B10" s="243" t="s">
        <v>51</v>
      </c>
      <c r="C10" s="243">
        <v>0.6000000000000085</v>
      </c>
      <c r="D10" s="243" t="s">
        <v>81</v>
      </c>
      <c r="E10" s="244">
        <v>-1.0</v>
      </c>
      <c r="F10" s="227"/>
      <c r="G10" s="227"/>
      <c r="H10" s="227"/>
      <c r="I10" s="256"/>
      <c r="J10" s="256"/>
      <c r="K10" s="227"/>
    </row>
    <row r="11" ht="15.75" customHeight="1">
      <c r="A11" s="242" t="s">
        <v>84</v>
      </c>
      <c r="B11" s="243" t="s">
        <v>63</v>
      </c>
      <c r="C11" s="210">
        <v>0.7999999999999972</v>
      </c>
      <c r="D11" s="230"/>
      <c r="E11" s="230"/>
      <c r="F11" s="227"/>
      <c r="G11" s="227"/>
      <c r="H11" s="227"/>
      <c r="I11" s="227"/>
      <c r="J11" s="227"/>
      <c r="K11" s="227"/>
    </row>
    <row r="12" ht="15.75" customHeight="1">
      <c r="A12" s="218" t="s">
        <v>88</v>
      </c>
      <c r="B12" s="243" t="s">
        <v>68</v>
      </c>
      <c r="C12" s="243">
        <v>0.7999999999999972</v>
      </c>
      <c r="D12" s="230"/>
      <c r="E12" s="230"/>
      <c r="F12" s="247"/>
      <c r="G12" s="227"/>
      <c r="H12" s="227"/>
      <c r="I12" s="227"/>
      <c r="J12" s="227"/>
      <c r="K12" s="227"/>
    </row>
    <row r="13" ht="15.75" customHeight="1">
      <c r="A13" s="242" t="s">
        <v>89</v>
      </c>
      <c r="B13" s="230"/>
      <c r="C13" s="230"/>
      <c r="D13" s="230"/>
      <c r="E13" s="230"/>
      <c r="F13" s="247"/>
      <c r="G13" s="227"/>
      <c r="H13" s="227"/>
      <c r="I13" s="227"/>
      <c r="J13" s="227"/>
      <c r="K13" s="227"/>
    </row>
    <row r="14" ht="15.75" customHeight="1">
      <c r="A14" s="132"/>
      <c r="B14" s="230"/>
      <c r="C14" s="230"/>
      <c r="D14" s="230"/>
      <c r="E14" s="230"/>
      <c r="F14" s="230"/>
      <c r="G14" s="227"/>
      <c r="H14" s="227"/>
      <c r="I14" s="227"/>
      <c r="J14" s="227"/>
      <c r="K14" s="227"/>
    </row>
    <row r="15" ht="15.75" customHeight="1">
      <c r="A15" s="132"/>
      <c r="B15" s="230"/>
      <c r="C15" s="230"/>
      <c r="D15" s="230"/>
      <c r="E15" s="227"/>
      <c r="F15" s="247"/>
      <c r="G15" s="247"/>
      <c r="H15" s="227"/>
      <c r="I15" s="227"/>
      <c r="J15" s="227"/>
      <c r="K15" s="227"/>
    </row>
    <row r="16" ht="15.75" customHeight="1">
      <c r="A16" s="132"/>
      <c r="B16" s="230"/>
      <c r="C16" s="230"/>
      <c r="D16" s="227"/>
      <c r="E16" s="230"/>
      <c r="F16" s="230"/>
      <c r="G16" s="227"/>
      <c r="H16" s="227"/>
      <c r="I16" s="227"/>
      <c r="J16" s="227"/>
      <c r="K16" s="227"/>
    </row>
    <row r="17" ht="15.75" customHeight="1">
      <c r="A17" s="132"/>
      <c r="B17" s="132"/>
      <c r="C17" s="132"/>
      <c r="D17" s="227"/>
      <c r="E17" s="230"/>
      <c r="F17" s="230"/>
      <c r="G17" s="227"/>
      <c r="H17" s="227"/>
      <c r="I17" s="227"/>
      <c r="J17" s="227"/>
      <c r="K17" s="227"/>
    </row>
    <row r="18" ht="15.75" customHeight="1">
      <c r="A18" s="132"/>
      <c r="B18" s="236" t="s">
        <v>393</v>
      </c>
      <c r="C18" s="237"/>
      <c r="D18" s="237"/>
      <c r="E18" s="238"/>
      <c r="F18" s="227"/>
      <c r="G18" s="227"/>
      <c r="H18" s="227"/>
      <c r="I18" s="227"/>
      <c r="J18" s="227"/>
      <c r="K18" s="227"/>
    </row>
    <row r="19" ht="15.75" customHeight="1">
      <c r="A19" s="132"/>
      <c r="B19" s="236" t="s">
        <v>17</v>
      </c>
      <c r="C19" s="238"/>
      <c r="D19" s="236" t="s">
        <v>74</v>
      </c>
      <c r="E19" s="238"/>
      <c r="F19" s="230"/>
      <c r="G19" s="227"/>
      <c r="H19" s="227"/>
      <c r="I19" s="227"/>
      <c r="J19" s="227"/>
      <c r="K19" s="227"/>
    </row>
    <row r="20" ht="15.75" customHeight="1">
      <c r="A20" s="132"/>
      <c r="B20" s="257" t="s">
        <v>392</v>
      </c>
      <c r="C20" s="240" t="s">
        <v>17</v>
      </c>
      <c r="D20" s="257" t="s">
        <v>392</v>
      </c>
      <c r="E20" s="240" t="s">
        <v>74</v>
      </c>
      <c r="F20" s="227"/>
      <c r="G20" s="227"/>
      <c r="H20" s="227"/>
      <c r="I20" s="227"/>
      <c r="J20" s="227"/>
      <c r="K20" s="227"/>
    </row>
    <row r="21" ht="15.75" customHeight="1">
      <c r="A21" s="132"/>
      <c r="B21" s="243" t="s">
        <v>64</v>
      </c>
      <c r="C21" s="243">
        <v>0.5</v>
      </c>
      <c r="D21" s="243" t="s">
        <v>50</v>
      </c>
      <c r="E21" s="244">
        <v>-0.9000000000000057</v>
      </c>
      <c r="F21" s="258"/>
      <c r="G21" s="227"/>
      <c r="H21" s="227"/>
      <c r="I21" s="227"/>
      <c r="J21" s="227"/>
      <c r="K21" s="227"/>
    </row>
    <row r="22" ht="15.75" customHeight="1">
      <c r="A22" s="132"/>
      <c r="B22" s="230"/>
      <c r="C22" s="230"/>
      <c r="D22" s="243" t="s">
        <v>79</v>
      </c>
      <c r="E22" s="210">
        <v>-0.7999999999999972</v>
      </c>
      <c r="F22" s="258"/>
      <c r="G22" s="227"/>
      <c r="H22" s="227"/>
      <c r="I22" s="227"/>
      <c r="J22" s="227"/>
      <c r="K22" s="227"/>
    </row>
    <row r="23" ht="15.75" customHeight="1">
      <c r="A23" s="132"/>
      <c r="B23" s="230"/>
      <c r="C23" s="230"/>
      <c r="D23" s="243" t="s">
        <v>87</v>
      </c>
      <c r="E23" s="210">
        <v>-0.3999999999999915</v>
      </c>
      <c r="F23" s="258"/>
      <c r="G23" s="227"/>
      <c r="H23" s="227"/>
      <c r="I23" s="227"/>
      <c r="J23" s="227"/>
      <c r="K23" s="227"/>
    </row>
    <row r="24" ht="15.75" customHeight="1">
      <c r="A24" s="132"/>
      <c r="B24" s="230"/>
      <c r="C24" s="230"/>
      <c r="D24" s="230"/>
      <c r="E24" s="230"/>
      <c r="F24" s="258"/>
      <c r="G24" s="227"/>
      <c r="H24" s="227"/>
      <c r="I24" s="227"/>
      <c r="J24" s="227"/>
      <c r="K24" s="227"/>
    </row>
    <row r="25" ht="15.75" customHeight="1">
      <c r="A25" s="230"/>
      <c r="B25" s="230"/>
      <c r="C25" s="230"/>
      <c r="D25" s="132"/>
      <c r="E25" s="132"/>
      <c r="F25" s="227"/>
      <c r="G25" s="227"/>
      <c r="H25" s="227"/>
      <c r="I25" s="227"/>
      <c r="J25" s="227"/>
      <c r="K25" s="227"/>
    </row>
    <row r="26" ht="15.75" customHeight="1">
      <c r="A26" s="230"/>
      <c r="B26" s="230"/>
      <c r="C26" s="230"/>
      <c r="D26" s="230"/>
      <c r="E26" s="230"/>
      <c r="F26" s="227"/>
      <c r="G26" s="227"/>
      <c r="H26" s="227"/>
      <c r="I26" s="227"/>
      <c r="J26" s="227"/>
      <c r="K26" s="227"/>
    </row>
    <row r="27" ht="15.75" customHeight="1">
      <c r="A27" s="230"/>
      <c r="B27" s="230"/>
      <c r="C27" s="230"/>
      <c r="D27" s="132"/>
      <c r="E27" s="132"/>
      <c r="F27" s="227"/>
      <c r="G27" s="227"/>
      <c r="H27" s="227"/>
      <c r="I27" s="227"/>
      <c r="J27" s="227"/>
      <c r="K27" s="227"/>
    </row>
    <row r="28" ht="15.75" customHeight="1">
      <c r="A28" s="230"/>
      <c r="B28" s="132"/>
      <c r="C28" s="132"/>
      <c r="D28" s="132"/>
      <c r="E28" s="227"/>
      <c r="F28" s="227"/>
      <c r="G28" s="227"/>
      <c r="H28" s="227"/>
      <c r="I28" s="227"/>
      <c r="J28" s="227"/>
      <c r="K28" s="227"/>
    </row>
    <row r="29" ht="15.75" customHeight="1">
      <c r="A29" s="230"/>
      <c r="B29" s="132"/>
      <c r="C29" s="132"/>
      <c r="D29" s="132"/>
      <c r="E29" s="227"/>
      <c r="F29" s="227"/>
      <c r="G29" s="227"/>
      <c r="H29" s="227"/>
      <c r="I29" s="227"/>
      <c r="J29" s="227"/>
      <c r="K29" s="227"/>
    </row>
    <row r="30" ht="15.75" customHeight="1">
      <c r="A30" s="230"/>
      <c r="B30" s="248" t="s">
        <v>394</v>
      </c>
      <c r="C30" s="238"/>
      <c r="D30" s="247"/>
      <c r="E30" s="227"/>
      <c r="F30" s="227"/>
      <c r="G30" s="227"/>
      <c r="H30" s="227"/>
      <c r="I30" s="227"/>
      <c r="J30" s="227"/>
      <c r="K30" s="227"/>
    </row>
    <row r="31" ht="15.75" customHeight="1">
      <c r="A31" s="132"/>
      <c r="B31" s="249" t="s">
        <v>395</v>
      </c>
      <c r="C31" s="250" t="s">
        <v>396</v>
      </c>
      <c r="D31" s="132"/>
      <c r="E31" s="227"/>
      <c r="F31" s="227"/>
      <c r="G31" s="227"/>
      <c r="H31" s="227"/>
      <c r="I31" s="227"/>
      <c r="J31" s="227"/>
      <c r="K31" s="227"/>
    </row>
    <row r="32" ht="15.75" customHeight="1">
      <c r="A32" s="132"/>
      <c r="B32" s="251" t="s">
        <v>397</v>
      </c>
      <c r="C32" s="252" t="s">
        <v>398</v>
      </c>
      <c r="D32" s="132"/>
      <c r="E32" s="227"/>
      <c r="F32" s="227"/>
      <c r="G32" s="227"/>
      <c r="H32" s="227"/>
      <c r="I32" s="227"/>
      <c r="J32" s="227"/>
      <c r="K32" s="227"/>
    </row>
    <row r="33" ht="15.75" customHeight="1">
      <c r="A33" s="132"/>
      <c r="B33" s="132"/>
      <c r="C33" s="132"/>
      <c r="D33" s="132"/>
      <c r="E33" s="227"/>
      <c r="F33" s="227"/>
      <c r="G33" s="227"/>
      <c r="H33" s="227"/>
      <c r="I33" s="227"/>
      <c r="J33" s="227"/>
      <c r="K33" s="227"/>
    </row>
    <row r="34" ht="15.75" customHeight="1">
      <c r="A34" s="132"/>
      <c r="B34" s="132"/>
      <c r="C34" s="132"/>
      <c r="D34" s="132"/>
      <c r="E34" s="227"/>
      <c r="F34" s="227"/>
      <c r="G34" s="227"/>
      <c r="H34" s="227"/>
      <c r="I34" s="227"/>
      <c r="J34" s="227"/>
      <c r="K34" s="227"/>
    </row>
    <row r="35" ht="15.75" customHeight="1">
      <c r="A35" s="132"/>
      <c r="B35" s="132"/>
      <c r="C35" s="132"/>
      <c r="D35" s="132"/>
      <c r="E35" s="227"/>
      <c r="F35" s="227"/>
      <c r="G35" s="227"/>
      <c r="H35" s="227"/>
      <c r="I35" s="227"/>
      <c r="J35" s="227"/>
      <c r="K35" s="227"/>
    </row>
    <row r="36" ht="15.75" customHeight="1">
      <c r="A36" s="230"/>
      <c r="B36" s="132"/>
      <c r="C36" s="132"/>
      <c r="D36" s="132"/>
      <c r="E36" s="227"/>
      <c r="F36" s="227"/>
      <c r="G36" s="227"/>
      <c r="H36" s="227"/>
      <c r="I36" s="227"/>
      <c r="J36" s="227"/>
      <c r="K36" s="227"/>
    </row>
    <row r="37" ht="15.75" customHeight="1">
      <c r="A37" s="132"/>
      <c r="B37" s="132"/>
      <c r="C37" s="132"/>
      <c r="D37" s="132"/>
      <c r="E37" s="227"/>
      <c r="F37" s="227"/>
      <c r="G37" s="227"/>
      <c r="H37" s="227"/>
      <c r="I37" s="227"/>
      <c r="J37" s="227"/>
      <c r="K37" s="227"/>
    </row>
    <row r="38" ht="15.75" customHeight="1">
      <c r="A38" s="132"/>
      <c r="B38" s="132"/>
      <c r="C38" s="132"/>
      <c r="D38" s="132"/>
      <c r="E38" s="227"/>
      <c r="F38" s="227"/>
      <c r="G38" s="227"/>
      <c r="H38" s="227"/>
      <c r="I38" s="227"/>
      <c r="J38" s="227"/>
      <c r="K38" s="227"/>
    </row>
    <row r="39" ht="15.75" customHeight="1">
      <c r="A39" s="132"/>
      <c r="B39" s="132"/>
      <c r="C39" s="132"/>
      <c r="D39" s="132"/>
      <c r="E39" s="227"/>
      <c r="F39" s="227"/>
      <c r="G39" s="227"/>
      <c r="H39" s="227"/>
      <c r="I39" s="227"/>
      <c r="J39" s="227"/>
      <c r="K39" s="227"/>
    </row>
    <row r="40" ht="15.75" customHeight="1">
      <c r="A40" s="132"/>
      <c r="B40" s="132"/>
      <c r="C40" s="132"/>
      <c r="D40" s="132"/>
      <c r="E40" s="227"/>
      <c r="F40" s="227"/>
      <c r="G40" s="227"/>
      <c r="H40" s="227"/>
      <c r="I40" s="227"/>
      <c r="J40" s="227"/>
      <c r="K40" s="227"/>
    </row>
    <row r="41" ht="15.75" customHeight="1">
      <c r="A41" s="132"/>
      <c r="B41" s="132"/>
      <c r="C41" s="132"/>
      <c r="D41" s="132"/>
      <c r="E41" s="227"/>
      <c r="F41" s="227"/>
      <c r="G41" s="227"/>
      <c r="H41" s="227"/>
      <c r="I41" s="227"/>
      <c r="J41" s="227"/>
      <c r="K41" s="227"/>
    </row>
    <row r="42" ht="15.75" customHeight="1">
      <c r="A42" s="132"/>
      <c r="B42" s="132"/>
      <c r="C42" s="132"/>
      <c r="D42" s="132"/>
      <c r="E42" s="227"/>
      <c r="F42" s="227"/>
      <c r="G42" s="227"/>
      <c r="H42" s="227"/>
      <c r="I42" s="227"/>
      <c r="J42" s="227"/>
      <c r="K42" s="227"/>
    </row>
    <row r="43" ht="15.75" customHeight="1">
      <c r="A43" s="132"/>
      <c r="B43" s="132"/>
      <c r="C43" s="132"/>
      <c r="D43" s="132"/>
      <c r="E43" s="227"/>
      <c r="F43" s="227"/>
      <c r="G43" s="227"/>
      <c r="H43" s="227"/>
      <c r="I43" s="227"/>
      <c r="J43" s="227"/>
      <c r="K43" s="227"/>
    </row>
    <row r="44" ht="15.75" customHeight="1">
      <c r="A44" s="132"/>
      <c r="B44" s="132"/>
      <c r="C44" s="132"/>
      <c r="D44" s="132"/>
      <c r="E44" s="227"/>
      <c r="F44" s="227"/>
      <c r="G44" s="227"/>
      <c r="H44" s="227"/>
      <c r="I44" s="227"/>
      <c r="J44" s="227"/>
      <c r="K44" s="227"/>
    </row>
    <row r="45" ht="15.75" customHeight="1">
      <c r="A45" s="132"/>
      <c r="B45" s="132"/>
      <c r="C45" s="132"/>
      <c r="D45" s="132"/>
      <c r="E45" s="227"/>
      <c r="F45" s="227"/>
      <c r="G45" s="227"/>
      <c r="H45" s="227"/>
      <c r="I45" s="227"/>
      <c r="J45" s="227"/>
      <c r="K45" s="227"/>
    </row>
    <row r="46" ht="15.75" customHeight="1">
      <c r="A46" s="132"/>
      <c r="B46" s="132"/>
      <c r="C46" s="132"/>
      <c r="D46" s="132"/>
      <c r="E46" s="227"/>
      <c r="F46" s="227"/>
      <c r="G46" s="227"/>
      <c r="H46" s="227"/>
      <c r="I46" s="227"/>
      <c r="J46" s="227"/>
      <c r="K46" s="227"/>
    </row>
    <row r="47" ht="15.75" customHeight="1">
      <c r="A47" s="132"/>
      <c r="B47" s="132"/>
      <c r="C47" s="132"/>
      <c r="D47" s="132"/>
      <c r="E47" s="227"/>
      <c r="F47" s="227"/>
      <c r="G47" s="227"/>
      <c r="H47" s="227"/>
      <c r="I47" s="227"/>
      <c r="J47" s="227"/>
      <c r="K47" s="227"/>
    </row>
    <row r="48" ht="15.75" customHeight="1">
      <c r="A48" s="132"/>
      <c r="B48" s="132"/>
      <c r="C48" s="132"/>
      <c r="D48" s="132"/>
      <c r="E48" s="227"/>
      <c r="F48" s="227"/>
      <c r="G48" s="227"/>
      <c r="H48" s="227"/>
      <c r="I48" s="227"/>
      <c r="J48" s="227"/>
      <c r="K48" s="227"/>
    </row>
    <row r="49" ht="15.75" customHeight="1">
      <c r="A49" s="132"/>
      <c r="B49" s="132"/>
      <c r="C49" s="132"/>
      <c r="D49" s="132"/>
      <c r="E49" s="227"/>
      <c r="F49" s="227"/>
      <c r="G49" s="227"/>
      <c r="H49" s="227"/>
      <c r="I49" s="227"/>
      <c r="J49" s="227"/>
      <c r="K49" s="227"/>
    </row>
    <row r="50" ht="15.75" customHeight="1">
      <c r="A50" s="132"/>
      <c r="B50" s="132"/>
      <c r="C50" s="132"/>
      <c r="D50" s="132"/>
      <c r="E50" s="227"/>
      <c r="F50" s="227"/>
      <c r="G50" s="227"/>
      <c r="H50" s="227"/>
      <c r="I50" s="227"/>
      <c r="J50" s="227"/>
      <c r="K50" s="22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3"/>
    <mergeCell ref="B8:C8"/>
    <mergeCell ref="D8:E8"/>
    <mergeCell ref="B18:E18"/>
    <mergeCell ref="B19:C19"/>
    <mergeCell ref="D19:E19"/>
    <mergeCell ref="B30:C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3.88"/>
    <col customWidth="1" min="3" max="3" width="22.38"/>
    <col customWidth="1" min="4" max="4" width="24.25"/>
    <col customWidth="1" min="5" max="5" width="18.0"/>
    <col customWidth="1" min="6" max="6" width="12.63"/>
  </cols>
  <sheetData>
    <row r="1" ht="15.75" customHeight="1">
      <c r="A1" s="226" t="s">
        <v>401</v>
      </c>
      <c r="B1" s="187"/>
      <c r="C1" s="187"/>
      <c r="D1" s="187"/>
      <c r="E1" s="188"/>
      <c r="F1" s="227"/>
      <c r="G1" s="227"/>
      <c r="H1" s="227"/>
      <c r="I1" s="227"/>
      <c r="J1" s="227"/>
      <c r="K1" s="227"/>
    </row>
    <row r="2" ht="15.75" customHeight="1">
      <c r="A2" s="228"/>
      <c r="E2" s="193"/>
      <c r="F2" s="227"/>
      <c r="G2" s="227"/>
      <c r="H2" s="227"/>
      <c r="I2" s="227"/>
      <c r="J2" s="227"/>
      <c r="K2" s="227"/>
    </row>
    <row r="3" ht="15.75" customHeight="1">
      <c r="A3" s="229"/>
      <c r="B3" s="195"/>
      <c r="C3" s="195"/>
      <c r="D3" s="195"/>
      <c r="E3" s="196"/>
      <c r="F3" s="230"/>
      <c r="G3" s="227"/>
      <c r="H3" s="227"/>
      <c r="I3" s="227"/>
      <c r="J3" s="227"/>
      <c r="K3" s="227"/>
    </row>
    <row r="4" ht="15.75" customHeight="1">
      <c r="A4" s="227"/>
      <c r="B4" s="227"/>
      <c r="C4" s="227"/>
      <c r="D4" s="227"/>
      <c r="E4" s="227"/>
      <c r="F4" s="230"/>
      <c r="G4" s="227"/>
      <c r="H4" s="227"/>
      <c r="I4" s="227"/>
      <c r="J4" s="227"/>
      <c r="K4" s="227"/>
    </row>
    <row r="5" ht="15.75" customHeight="1">
      <c r="A5" s="231"/>
      <c r="B5" s="232"/>
      <c r="C5" s="227"/>
      <c r="D5" s="227"/>
      <c r="E5" s="227"/>
      <c r="F5" s="227"/>
      <c r="G5" s="227"/>
      <c r="H5" s="227"/>
      <c r="I5" s="227"/>
      <c r="J5" s="227"/>
      <c r="K5" s="227"/>
    </row>
    <row r="6" ht="15.75" customHeight="1">
      <c r="A6" s="233" t="s">
        <v>388</v>
      </c>
      <c r="B6" s="234">
        <v>45917.0</v>
      </c>
      <c r="C6" s="132"/>
      <c r="D6" s="227"/>
      <c r="E6" s="230"/>
      <c r="F6" s="230"/>
      <c r="G6" s="227"/>
      <c r="H6" s="227"/>
      <c r="I6" s="227"/>
      <c r="J6" s="227"/>
      <c r="K6" s="227"/>
    </row>
    <row r="7" ht="15.75" customHeight="1">
      <c r="A7" s="141"/>
      <c r="B7" s="141"/>
      <c r="C7" s="132"/>
      <c r="D7" s="227"/>
      <c r="E7" s="230"/>
      <c r="F7" s="230"/>
      <c r="G7" s="227"/>
      <c r="H7" s="227"/>
      <c r="I7" s="227"/>
      <c r="J7" s="227"/>
      <c r="K7" s="227"/>
    </row>
    <row r="8" ht="15.75" customHeight="1">
      <c r="A8" s="235" t="s">
        <v>389</v>
      </c>
      <c r="B8" s="236" t="s">
        <v>390</v>
      </c>
      <c r="C8" s="237"/>
      <c r="D8" s="236" t="s">
        <v>391</v>
      </c>
      <c r="E8" s="238"/>
      <c r="F8" s="227"/>
      <c r="G8" s="227"/>
      <c r="H8" s="227"/>
      <c r="I8" s="227"/>
      <c r="J8" s="227"/>
      <c r="K8" s="227"/>
    </row>
    <row r="9" ht="15.75" customHeight="1">
      <c r="A9" s="222" t="s">
        <v>97</v>
      </c>
      <c r="B9" s="239" t="s">
        <v>392</v>
      </c>
      <c r="C9" s="240" t="s">
        <v>83</v>
      </c>
      <c r="D9" s="241" t="s">
        <v>392</v>
      </c>
      <c r="E9" s="240" t="s">
        <v>74</v>
      </c>
      <c r="F9" s="227"/>
      <c r="G9" s="227"/>
      <c r="H9" s="227"/>
      <c r="I9" s="227"/>
      <c r="J9" s="227"/>
      <c r="K9" s="227"/>
    </row>
    <row r="10" ht="15.75" customHeight="1">
      <c r="A10" s="242" t="s">
        <v>105</v>
      </c>
      <c r="B10" s="243" t="s">
        <v>109</v>
      </c>
      <c r="C10" s="243">
        <v>0.5999999999999943</v>
      </c>
      <c r="D10" s="243" t="s">
        <v>99</v>
      </c>
      <c r="E10" s="244">
        <v>-1.0</v>
      </c>
      <c r="F10" s="227"/>
      <c r="G10" s="227"/>
      <c r="H10" s="227"/>
      <c r="I10" s="227"/>
      <c r="J10" s="227"/>
      <c r="K10" s="227"/>
    </row>
    <row r="11" ht="15.75" customHeight="1">
      <c r="A11" s="218" t="s">
        <v>115</v>
      </c>
      <c r="B11" s="210" t="s">
        <v>110</v>
      </c>
      <c r="C11" s="210">
        <v>0.4000000000000057</v>
      </c>
      <c r="D11" s="230"/>
      <c r="E11" s="227"/>
      <c r="F11" s="227"/>
      <c r="G11" s="227"/>
      <c r="H11" s="227"/>
      <c r="I11" s="227"/>
      <c r="J11" s="227"/>
      <c r="K11" s="227"/>
    </row>
    <row r="12" ht="15.75" customHeight="1">
      <c r="A12" s="218" t="s">
        <v>124</v>
      </c>
      <c r="B12" s="210" t="s">
        <v>118</v>
      </c>
      <c r="C12" s="210">
        <v>1.0</v>
      </c>
      <c r="D12" s="230"/>
      <c r="E12" s="227"/>
      <c r="F12" s="247"/>
      <c r="G12" s="227"/>
      <c r="H12" s="227"/>
      <c r="I12" s="227"/>
      <c r="J12" s="227"/>
      <c r="K12" s="227"/>
    </row>
    <row r="13" ht="15.75" customHeight="1">
      <c r="A13" s="218" t="s">
        <v>125</v>
      </c>
      <c r="B13" s="230"/>
      <c r="C13" s="230"/>
      <c r="D13" s="227"/>
      <c r="E13" s="230"/>
      <c r="F13" s="247"/>
      <c r="G13" s="227"/>
      <c r="H13" s="227"/>
      <c r="I13" s="227"/>
      <c r="J13" s="227"/>
      <c r="K13" s="227"/>
    </row>
    <row r="14" ht="15.75" customHeight="1">
      <c r="A14" s="218" t="s">
        <v>133</v>
      </c>
      <c r="B14" s="132"/>
      <c r="C14" s="141"/>
      <c r="D14" s="227"/>
      <c r="E14" s="230"/>
      <c r="F14" s="230"/>
      <c r="G14" s="227"/>
      <c r="H14" s="227"/>
      <c r="I14" s="227"/>
      <c r="J14" s="227"/>
      <c r="K14" s="227"/>
    </row>
    <row r="15" ht="15.75" customHeight="1">
      <c r="A15" s="132"/>
      <c r="B15" s="132"/>
      <c r="C15" s="132"/>
      <c r="D15" s="230"/>
      <c r="E15" s="227"/>
      <c r="F15" s="247"/>
      <c r="G15" s="227"/>
      <c r="H15" s="227"/>
      <c r="I15" s="227"/>
      <c r="J15" s="227"/>
      <c r="K15" s="227"/>
    </row>
    <row r="16" ht="15.75" customHeight="1">
      <c r="A16" s="132"/>
      <c r="B16" s="132"/>
      <c r="C16" s="141"/>
      <c r="D16" s="227"/>
      <c r="E16" s="230"/>
      <c r="F16" s="230"/>
      <c r="G16" s="227"/>
      <c r="H16" s="227"/>
      <c r="I16" s="227"/>
      <c r="J16" s="227"/>
      <c r="K16" s="227"/>
    </row>
    <row r="17" ht="15.75" customHeight="1">
      <c r="A17" s="132"/>
      <c r="B17" s="132"/>
      <c r="C17" s="132"/>
      <c r="D17" s="227"/>
      <c r="E17" s="230"/>
      <c r="F17" s="230"/>
      <c r="G17" s="227"/>
      <c r="H17" s="227"/>
      <c r="I17" s="227"/>
      <c r="J17" s="227"/>
      <c r="K17" s="227"/>
    </row>
    <row r="18" ht="15.75" customHeight="1">
      <c r="A18" s="132"/>
      <c r="B18" s="236" t="s">
        <v>393</v>
      </c>
      <c r="C18" s="237"/>
      <c r="D18" s="237"/>
      <c r="E18" s="238"/>
      <c r="F18" s="227"/>
      <c r="G18" s="227"/>
      <c r="H18" s="227"/>
      <c r="I18" s="227"/>
      <c r="J18" s="227"/>
      <c r="K18" s="227"/>
    </row>
    <row r="19" ht="15.75" customHeight="1">
      <c r="A19" s="132"/>
      <c r="B19" s="236" t="s">
        <v>17</v>
      </c>
      <c r="C19" s="238"/>
      <c r="D19" s="236" t="s">
        <v>74</v>
      </c>
      <c r="E19" s="238"/>
      <c r="F19" s="230"/>
      <c r="G19" s="227"/>
      <c r="H19" s="227"/>
      <c r="I19" s="227"/>
      <c r="J19" s="227"/>
      <c r="K19" s="227"/>
    </row>
    <row r="20" ht="15.75" customHeight="1">
      <c r="A20" s="132"/>
      <c r="B20" s="257" t="s">
        <v>392</v>
      </c>
      <c r="C20" s="240" t="s">
        <v>17</v>
      </c>
      <c r="D20" s="257" t="s">
        <v>392</v>
      </c>
      <c r="E20" s="240" t="s">
        <v>74</v>
      </c>
      <c r="F20" s="227"/>
      <c r="G20" s="227"/>
      <c r="H20" s="227"/>
      <c r="I20" s="227"/>
      <c r="J20" s="227"/>
      <c r="K20" s="227"/>
    </row>
    <row r="21" ht="15.75" customHeight="1">
      <c r="A21" s="132"/>
      <c r="B21" s="227"/>
      <c r="C21" s="227"/>
      <c r="D21" s="243" t="s">
        <v>141</v>
      </c>
      <c r="E21" s="244">
        <v>-1.4000000000000057</v>
      </c>
      <c r="F21" s="227"/>
      <c r="G21" s="227"/>
      <c r="H21" s="227"/>
      <c r="I21" s="227"/>
      <c r="J21" s="227"/>
      <c r="K21" s="227"/>
    </row>
    <row r="22" ht="15.75" customHeight="1">
      <c r="A22" s="132"/>
      <c r="B22" s="227"/>
      <c r="C22" s="227"/>
      <c r="D22" s="227"/>
      <c r="E22" s="227"/>
      <c r="F22" s="227"/>
      <c r="G22" s="227"/>
      <c r="H22" s="227"/>
      <c r="I22" s="227"/>
      <c r="J22" s="227"/>
      <c r="K22" s="227"/>
    </row>
    <row r="23" ht="15.75" customHeight="1">
      <c r="A23" s="230"/>
      <c r="B23" s="227"/>
      <c r="C23" s="227"/>
      <c r="D23" s="227"/>
      <c r="E23" s="227"/>
      <c r="F23" s="227"/>
      <c r="G23" s="227"/>
      <c r="H23" s="227"/>
      <c r="I23" s="227"/>
      <c r="J23" s="227"/>
      <c r="K23" s="227"/>
    </row>
    <row r="24" ht="15.75" customHeight="1">
      <c r="A24" s="230"/>
      <c r="B24" s="227"/>
      <c r="C24" s="227"/>
      <c r="D24" s="227"/>
      <c r="E24" s="227"/>
      <c r="F24" s="227"/>
      <c r="G24" s="227"/>
      <c r="H24" s="227"/>
      <c r="I24" s="227"/>
      <c r="J24" s="227"/>
      <c r="K24" s="227"/>
    </row>
    <row r="25" ht="15.75" customHeight="1">
      <c r="A25" s="230"/>
      <c r="B25" s="227"/>
      <c r="C25" s="227"/>
      <c r="D25" s="227"/>
      <c r="E25" s="227"/>
      <c r="F25" s="227"/>
      <c r="G25" s="227"/>
      <c r="H25" s="227"/>
      <c r="I25" s="227"/>
      <c r="J25" s="227"/>
      <c r="K25" s="227"/>
    </row>
    <row r="26" ht="15.75" customHeight="1">
      <c r="A26" s="230"/>
      <c r="B26" s="248" t="s">
        <v>394</v>
      </c>
      <c r="C26" s="238"/>
      <c r="D26" s="230"/>
      <c r="E26" s="230"/>
      <c r="F26" s="227"/>
      <c r="G26" s="227"/>
      <c r="H26" s="227"/>
      <c r="I26" s="227"/>
      <c r="J26" s="227"/>
      <c r="K26" s="227"/>
    </row>
    <row r="27" ht="15.75" customHeight="1">
      <c r="A27" s="132"/>
      <c r="B27" s="249" t="s">
        <v>395</v>
      </c>
      <c r="C27" s="250" t="s">
        <v>396</v>
      </c>
      <c r="D27" s="230"/>
      <c r="E27" s="230"/>
      <c r="F27" s="227"/>
      <c r="G27" s="227"/>
      <c r="H27" s="227"/>
      <c r="I27" s="227"/>
      <c r="J27" s="227"/>
      <c r="K27" s="227"/>
    </row>
    <row r="28" ht="15.75" customHeight="1">
      <c r="A28" s="132"/>
      <c r="B28" s="251" t="s">
        <v>397</v>
      </c>
      <c r="C28" s="252" t="s">
        <v>398</v>
      </c>
      <c r="D28" s="132"/>
      <c r="E28" s="227"/>
      <c r="F28" s="227"/>
      <c r="G28" s="227"/>
      <c r="H28" s="227"/>
      <c r="I28" s="227"/>
      <c r="J28" s="227"/>
      <c r="K28" s="227"/>
    </row>
    <row r="29" ht="15.75" customHeight="1">
      <c r="A29" s="132"/>
      <c r="B29" s="132"/>
      <c r="C29" s="132"/>
      <c r="D29" s="132"/>
      <c r="E29" s="227"/>
      <c r="F29" s="227"/>
      <c r="G29" s="227"/>
      <c r="H29" s="227"/>
      <c r="I29" s="227"/>
      <c r="J29" s="227"/>
      <c r="K29" s="227"/>
    </row>
    <row r="30" ht="15.75" customHeight="1">
      <c r="A30" s="132"/>
      <c r="B30" s="132"/>
      <c r="C30" s="132"/>
      <c r="D30" s="132"/>
      <c r="E30" s="227"/>
      <c r="F30" s="227"/>
      <c r="G30" s="227"/>
      <c r="H30" s="227"/>
      <c r="I30" s="227"/>
      <c r="J30" s="227"/>
      <c r="K30" s="227"/>
    </row>
    <row r="31" ht="15.75" customHeight="1">
      <c r="A31" s="132"/>
      <c r="B31" s="132"/>
      <c r="C31" s="132"/>
      <c r="D31" s="132"/>
      <c r="E31" s="227"/>
      <c r="F31" s="227"/>
      <c r="G31" s="227"/>
      <c r="H31" s="227"/>
      <c r="I31" s="227"/>
      <c r="J31" s="227"/>
      <c r="K31" s="227"/>
    </row>
    <row r="32" ht="15.75" customHeight="1">
      <c r="A32" s="230"/>
      <c r="B32" s="132"/>
      <c r="C32" s="132"/>
      <c r="D32" s="132"/>
      <c r="E32" s="227"/>
      <c r="F32" s="227"/>
      <c r="G32" s="227"/>
      <c r="H32" s="227"/>
      <c r="I32" s="227"/>
      <c r="J32" s="227"/>
      <c r="K32" s="227"/>
    </row>
    <row r="33" ht="15.75" customHeight="1">
      <c r="A33" s="132"/>
      <c r="B33" s="132"/>
      <c r="C33" s="132"/>
      <c r="D33" s="132"/>
      <c r="E33" s="227"/>
      <c r="F33" s="227"/>
      <c r="G33" s="227"/>
      <c r="H33" s="227"/>
      <c r="I33" s="227"/>
      <c r="J33" s="227"/>
      <c r="K33" s="227"/>
    </row>
    <row r="34" ht="15.75" customHeight="1">
      <c r="A34" s="132"/>
      <c r="B34" s="132"/>
      <c r="C34" s="132"/>
      <c r="D34" s="132"/>
      <c r="E34" s="227"/>
      <c r="F34" s="227"/>
      <c r="G34" s="227"/>
      <c r="H34" s="227"/>
      <c r="I34" s="227"/>
      <c r="J34" s="227"/>
      <c r="K34" s="227"/>
    </row>
    <row r="35" ht="15.75" customHeight="1">
      <c r="A35" s="132"/>
      <c r="B35" s="132"/>
      <c r="C35" s="132"/>
      <c r="D35" s="132"/>
      <c r="E35" s="227"/>
      <c r="F35" s="227"/>
      <c r="G35" s="227"/>
      <c r="H35" s="227"/>
      <c r="I35" s="227"/>
      <c r="J35" s="227"/>
      <c r="K35" s="227"/>
    </row>
    <row r="36" ht="15.75" customHeight="1">
      <c r="A36" s="132"/>
      <c r="B36" s="132"/>
      <c r="C36" s="132"/>
      <c r="D36" s="132"/>
      <c r="E36" s="227"/>
      <c r="F36" s="227"/>
      <c r="G36" s="227"/>
      <c r="H36" s="227"/>
      <c r="I36" s="227"/>
      <c r="J36" s="227"/>
      <c r="K36" s="227"/>
    </row>
    <row r="37" ht="15.75" customHeight="1">
      <c r="A37" s="132"/>
      <c r="B37" s="132"/>
      <c r="C37" s="132"/>
      <c r="D37" s="132"/>
      <c r="E37" s="227"/>
      <c r="F37" s="227"/>
      <c r="G37" s="227"/>
      <c r="H37" s="227"/>
      <c r="I37" s="227"/>
      <c r="J37" s="227"/>
      <c r="K37" s="227"/>
    </row>
    <row r="38" ht="15.75" customHeight="1">
      <c r="A38" s="132"/>
      <c r="B38" s="132"/>
      <c r="C38" s="132"/>
      <c r="D38" s="132"/>
      <c r="E38" s="227"/>
      <c r="F38" s="227"/>
      <c r="G38" s="227"/>
      <c r="H38" s="227"/>
      <c r="I38" s="227"/>
      <c r="J38" s="227"/>
      <c r="K38" s="227"/>
    </row>
    <row r="39" ht="15.75" customHeight="1">
      <c r="A39" s="132"/>
      <c r="B39" s="132"/>
      <c r="C39" s="132"/>
      <c r="D39" s="132"/>
      <c r="E39" s="227"/>
      <c r="F39" s="227"/>
      <c r="G39" s="227"/>
      <c r="H39" s="227"/>
      <c r="I39" s="227"/>
      <c r="J39" s="227"/>
      <c r="K39" s="227"/>
    </row>
    <row r="40" ht="15.75" customHeight="1">
      <c r="A40" s="132"/>
      <c r="B40" s="132"/>
      <c r="C40" s="132"/>
      <c r="D40" s="132"/>
      <c r="E40" s="227"/>
      <c r="F40" s="227"/>
      <c r="G40" s="227"/>
      <c r="H40" s="227"/>
      <c r="I40" s="227"/>
      <c r="J40" s="227"/>
      <c r="K40" s="227"/>
    </row>
    <row r="41" ht="15.75" customHeight="1">
      <c r="A41" s="132"/>
      <c r="B41" s="132"/>
      <c r="C41" s="132"/>
      <c r="D41" s="132"/>
      <c r="E41" s="227"/>
      <c r="F41" s="227"/>
      <c r="G41" s="227"/>
      <c r="H41" s="227"/>
      <c r="I41" s="227"/>
      <c r="J41" s="227"/>
      <c r="K41" s="227"/>
    </row>
    <row r="42" ht="15.75" customHeight="1">
      <c r="A42" s="132"/>
      <c r="B42" s="132"/>
      <c r="C42" s="132"/>
      <c r="D42" s="132"/>
      <c r="E42" s="227"/>
      <c r="F42" s="227"/>
      <c r="G42" s="227"/>
      <c r="H42" s="227"/>
      <c r="I42" s="227"/>
      <c r="J42" s="227"/>
      <c r="K42" s="227"/>
    </row>
    <row r="43" ht="15.75" customHeight="1">
      <c r="A43" s="132"/>
      <c r="B43" s="132"/>
      <c r="C43" s="132"/>
      <c r="D43" s="132"/>
      <c r="E43" s="227"/>
      <c r="F43" s="227"/>
      <c r="G43" s="227"/>
      <c r="H43" s="227"/>
      <c r="I43" s="227"/>
      <c r="J43" s="227"/>
      <c r="K43" s="227"/>
    </row>
    <row r="44" ht="15.75" customHeight="1">
      <c r="A44" s="132"/>
      <c r="B44" s="132"/>
      <c r="C44" s="132"/>
      <c r="D44" s="132"/>
      <c r="E44" s="227"/>
      <c r="F44" s="227"/>
      <c r="G44" s="227"/>
      <c r="H44" s="227"/>
      <c r="I44" s="227"/>
      <c r="J44" s="227"/>
      <c r="K44" s="227"/>
    </row>
    <row r="45" ht="15.75" customHeight="1">
      <c r="A45" s="132"/>
      <c r="B45" s="132"/>
      <c r="C45" s="132"/>
      <c r="D45" s="132"/>
      <c r="E45" s="227"/>
      <c r="F45" s="227"/>
      <c r="G45" s="227"/>
      <c r="H45" s="227"/>
      <c r="I45" s="227"/>
      <c r="J45" s="227"/>
      <c r="K45" s="227"/>
    </row>
    <row r="46" ht="15.75" customHeight="1">
      <c r="A46" s="132"/>
      <c r="B46" s="132"/>
      <c r="C46" s="132"/>
      <c r="D46" s="132"/>
      <c r="E46" s="227"/>
      <c r="F46" s="227"/>
      <c r="G46" s="227"/>
      <c r="H46" s="227"/>
      <c r="I46" s="227"/>
      <c r="J46" s="227"/>
      <c r="K46" s="22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3"/>
    <mergeCell ref="B8:C8"/>
    <mergeCell ref="D8:E8"/>
    <mergeCell ref="B18:E18"/>
    <mergeCell ref="B19:C19"/>
    <mergeCell ref="D19:E19"/>
    <mergeCell ref="B26:C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3.88"/>
    <col customWidth="1" min="3" max="3" width="22.38"/>
    <col customWidth="1" min="4" max="4" width="24.25"/>
    <col customWidth="1" min="5" max="5" width="18.0"/>
    <col customWidth="1" min="6" max="6" width="12.63"/>
  </cols>
  <sheetData>
    <row r="1" ht="15.75" customHeight="1">
      <c r="A1" s="226" t="s">
        <v>402</v>
      </c>
      <c r="B1" s="187"/>
      <c r="C1" s="187"/>
      <c r="D1" s="187"/>
      <c r="E1" s="188"/>
      <c r="F1" s="227"/>
      <c r="G1" s="227"/>
      <c r="H1" s="227"/>
      <c r="I1" s="227"/>
      <c r="J1" s="227"/>
      <c r="K1" s="227"/>
    </row>
    <row r="2" ht="15.75" customHeight="1">
      <c r="A2" s="228"/>
      <c r="E2" s="193"/>
      <c r="F2" s="227"/>
      <c r="G2" s="227"/>
      <c r="H2" s="227"/>
      <c r="I2" s="227"/>
      <c r="J2" s="227"/>
      <c r="K2" s="227"/>
    </row>
    <row r="3" ht="15.75" customHeight="1">
      <c r="A3" s="229"/>
      <c r="B3" s="195"/>
      <c r="C3" s="195"/>
      <c r="D3" s="195"/>
      <c r="E3" s="196"/>
      <c r="F3" s="230"/>
      <c r="G3" s="227"/>
      <c r="H3" s="227"/>
      <c r="I3" s="227"/>
      <c r="J3" s="227"/>
      <c r="K3" s="227"/>
    </row>
    <row r="4" ht="15.75" customHeight="1">
      <c r="A4" s="227"/>
      <c r="B4" s="227"/>
      <c r="C4" s="227"/>
      <c r="D4" s="227"/>
      <c r="E4" s="227"/>
      <c r="F4" s="230"/>
      <c r="G4" s="227"/>
      <c r="H4" s="227"/>
      <c r="I4" s="227"/>
      <c r="J4" s="227"/>
      <c r="K4" s="227"/>
    </row>
    <row r="5" ht="15.75" customHeight="1">
      <c r="A5" s="231"/>
      <c r="B5" s="232"/>
      <c r="C5" s="227"/>
      <c r="D5" s="227"/>
      <c r="E5" s="227"/>
      <c r="F5" s="227"/>
      <c r="G5" s="227"/>
      <c r="H5" s="227"/>
      <c r="I5" s="227"/>
      <c r="J5" s="227"/>
      <c r="K5" s="227"/>
    </row>
    <row r="6" ht="15.75" customHeight="1">
      <c r="A6" s="233" t="s">
        <v>388</v>
      </c>
      <c r="B6" s="234">
        <v>45917.0</v>
      </c>
      <c r="C6" s="132"/>
      <c r="D6" s="227"/>
      <c r="E6" s="230"/>
      <c r="F6" s="230"/>
      <c r="G6" s="227"/>
      <c r="H6" s="227"/>
      <c r="I6" s="227"/>
      <c r="J6" s="227"/>
      <c r="K6" s="227"/>
    </row>
    <row r="7" ht="15.75" customHeight="1">
      <c r="A7" s="141"/>
      <c r="B7" s="141"/>
      <c r="C7" s="132"/>
      <c r="D7" s="227"/>
      <c r="E7" s="230"/>
      <c r="F7" s="230"/>
      <c r="G7" s="227"/>
      <c r="H7" s="227"/>
      <c r="I7" s="227"/>
      <c r="J7" s="227"/>
      <c r="K7" s="227"/>
    </row>
    <row r="8" ht="15.75" customHeight="1">
      <c r="A8" s="259" t="s">
        <v>389</v>
      </c>
      <c r="B8" s="236" t="s">
        <v>390</v>
      </c>
      <c r="C8" s="237"/>
      <c r="D8" s="236" t="s">
        <v>391</v>
      </c>
      <c r="E8" s="238"/>
      <c r="F8" s="227"/>
      <c r="G8" s="227"/>
      <c r="H8" s="227"/>
      <c r="I8" s="227"/>
      <c r="J8" s="227"/>
      <c r="K8" s="227"/>
    </row>
    <row r="9" ht="15.75" customHeight="1">
      <c r="A9" s="260" t="s">
        <v>153</v>
      </c>
      <c r="B9" s="241" t="s">
        <v>392</v>
      </c>
      <c r="C9" s="240" t="s">
        <v>83</v>
      </c>
      <c r="D9" s="241" t="s">
        <v>392</v>
      </c>
      <c r="E9" s="240" t="s">
        <v>74</v>
      </c>
      <c r="F9" s="227"/>
      <c r="G9" s="227"/>
      <c r="H9" s="227"/>
      <c r="I9" s="227"/>
      <c r="J9" s="227"/>
      <c r="K9" s="227"/>
    </row>
    <row r="10" ht="15.75" customHeight="1">
      <c r="A10" s="260" t="s">
        <v>163</v>
      </c>
      <c r="B10" s="243" t="s">
        <v>161</v>
      </c>
      <c r="C10" s="243">
        <v>0.7999999999999972</v>
      </c>
      <c r="D10" s="243" t="s">
        <v>201</v>
      </c>
      <c r="E10" s="244">
        <v>-1.0</v>
      </c>
      <c r="F10" s="227"/>
      <c r="G10" s="227"/>
      <c r="H10" s="227"/>
      <c r="I10" s="227"/>
      <c r="J10" s="227"/>
      <c r="K10" s="227"/>
    </row>
    <row r="11" ht="15.75" customHeight="1">
      <c r="A11" s="260" t="s">
        <v>171</v>
      </c>
      <c r="B11" s="243" t="s">
        <v>165</v>
      </c>
      <c r="C11" s="210">
        <v>0.7999999999999972</v>
      </c>
      <c r="D11" s="230"/>
      <c r="E11" s="227"/>
      <c r="F11" s="227"/>
      <c r="G11" s="227"/>
      <c r="H11" s="227"/>
      <c r="I11" s="227"/>
      <c r="J11" s="227"/>
      <c r="K11" s="227"/>
    </row>
    <row r="12" ht="15.75" customHeight="1">
      <c r="A12" s="260" t="s">
        <v>176</v>
      </c>
      <c r="B12" s="243" t="s">
        <v>173</v>
      </c>
      <c r="C12" s="210">
        <v>0.5</v>
      </c>
      <c r="D12" s="227"/>
      <c r="E12" s="230"/>
      <c r="F12" s="247"/>
      <c r="G12" s="227"/>
      <c r="H12" s="227"/>
      <c r="I12" s="227"/>
      <c r="J12" s="227"/>
      <c r="K12" s="227"/>
    </row>
    <row r="13" ht="15.75" customHeight="1">
      <c r="A13" s="260" t="s">
        <v>148</v>
      </c>
      <c r="B13" s="243" t="s">
        <v>182</v>
      </c>
      <c r="C13" s="210">
        <v>0.4000000000000057</v>
      </c>
      <c r="D13" s="227"/>
      <c r="E13" s="230"/>
      <c r="F13" s="247"/>
      <c r="G13" s="227"/>
      <c r="H13" s="227"/>
      <c r="I13" s="227"/>
      <c r="J13" s="227"/>
      <c r="K13" s="227"/>
    </row>
    <row r="14" ht="15.75" customHeight="1">
      <c r="A14" s="261" t="s">
        <v>179</v>
      </c>
      <c r="B14" s="230"/>
      <c r="C14" s="227"/>
      <c r="D14" s="230"/>
      <c r="E14" s="227"/>
      <c r="F14" s="230"/>
      <c r="G14" s="227"/>
      <c r="H14" s="227"/>
      <c r="I14" s="227"/>
      <c r="J14" s="227"/>
      <c r="K14" s="227"/>
    </row>
    <row r="15" ht="15.75" customHeight="1">
      <c r="A15" s="261" t="s">
        <v>180</v>
      </c>
      <c r="B15" s="227"/>
      <c r="C15" s="230"/>
      <c r="D15" s="227"/>
      <c r="E15" s="230"/>
      <c r="F15" s="247"/>
      <c r="G15" s="247"/>
      <c r="H15" s="227"/>
      <c r="I15" s="227"/>
      <c r="J15" s="227"/>
      <c r="K15" s="227"/>
    </row>
    <row r="16" ht="15.75" customHeight="1">
      <c r="A16" s="261" t="s">
        <v>185</v>
      </c>
      <c r="B16" s="227"/>
      <c r="C16" s="230"/>
      <c r="D16" s="227"/>
      <c r="E16" s="230"/>
      <c r="F16" s="230"/>
      <c r="G16" s="227"/>
      <c r="H16" s="227"/>
      <c r="I16" s="227"/>
      <c r="J16" s="227"/>
      <c r="K16" s="227"/>
    </row>
    <row r="17" ht="15.75" customHeight="1">
      <c r="A17" s="261" t="s">
        <v>200</v>
      </c>
      <c r="B17" s="132"/>
      <c r="C17" s="132"/>
      <c r="D17" s="227"/>
      <c r="E17" s="230"/>
      <c r="F17" s="230"/>
      <c r="G17" s="227"/>
      <c r="H17" s="227"/>
      <c r="I17" s="227"/>
      <c r="J17" s="227"/>
      <c r="K17" s="227"/>
    </row>
    <row r="18" ht="15.75" customHeight="1">
      <c r="A18" s="132"/>
      <c r="B18" s="236" t="s">
        <v>393</v>
      </c>
      <c r="C18" s="237"/>
      <c r="D18" s="237"/>
      <c r="E18" s="238"/>
      <c r="F18" s="227"/>
      <c r="G18" s="227"/>
      <c r="H18" s="227"/>
      <c r="I18" s="227"/>
      <c r="J18" s="227"/>
      <c r="K18" s="227"/>
    </row>
    <row r="19" ht="15.75" customHeight="1">
      <c r="A19" s="132"/>
      <c r="B19" s="236" t="s">
        <v>17</v>
      </c>
      <c r="C19" s="238"/>
      <c r="D19" s="236" t="s">
        <v>74</v>
      </c>
      <c r="E19" s="238"/>
      <c r="F19" s="230"/>
      <c r="G19" s="227"/>
      <c r="H19" s="227"/>
      <c r="I19" s="227"/>
      <c r="J19" s="227"/>
      <c r="K19" s="227"/>
    </row>
    <row r="20" ht="15.75" customHeight="1">
      <c r="A20" s="132"/>
      <c r="B20" s="257" t="s">
        <v>392</v>
      </c>
      <c r="C20" s="240" t="s">
        <v>17</v>
      </c>
      <c r="D20" s="257" t="s">
        <v>392</v>
      </c>
      <c r="E20" s="240" t="s">
        <v>74</v>
      </c>
      <c r="F20" s="227"/>
      <c r="G20" s="227"/>
      <c r="H20" s="227"/>
      <c r="I20" s="227"/>
      <c r="J20" s="227"/>
      <c r="K20" s="227"/>
    </row>
    <row r="21" ht="15.75" customHeight="1">
      <c r="A21" s="230"/>
      <c r="B21" s="243" t="s">
        <v>183</v>
      </c>
      <c r="C21" s="243">
        <v>0.7000000000000028</v>
      </c>
      <c r="D21" s="243" t="s">
        <v>155</v>
      </c>
      <c r="E21" s="244">
        <v>-0.7000000000000028</v>
      </c>
      <c r="F21" s="258"/>
      <c r="G21" s="227"/>
      <c r="H21" s="227"/>
      <c r="I21" s="227"/>
      <c r="J21" s="227"/>
      <c r="K21" s="227"/>
    </row>
    <row r="22" ht="15.75" customHeight="1">
      <c r="A22" s="132"/>
      <c r="B22" s="230"/>
      <c r="C22" s="227"/>
      <c r="D22" s="243" t="s">
        <v>167</v>
      </c>
      <c r="E22" s="210">
        <v>-1.1999999999999886</v>
      </c>
      <c r="F22" s="258"/>
      <c r="G22" s="227"/>
      <c r="H22" s="227"/>
      <c r="I22" s="227"/>
      <c r="J22" s="227"/>
      <c r="K22" s="227"/>
    </row>
    <row r="23" ht="15.75" customHeight="1">
      <c r="A23" s="132"/>
      <c r="B23" s="227"/>
      <c r="C23" s="230"/>
      <c r="D23" s="243" t="s">
        <v>189</v>
      </c>
      <c r="E23" s="210">
        <v>-0.9000000000000057</v>
      </c>
      <c r="F23" s="258"/>
      <c r="G23" s="227"/>
      <c r="H23" s="227"/>
      <c r="I23" s="227"/>
      <c r="J23" s="227"/>
      <c r="K23" s="227"/>
    </row>
    <row r="24" ht="15.75" customHeight="1">
      <c r="A24" s="132"/>
      <c r="B24" s="227"/>
      <c r="C24" s="230"/>
      <c r="D24" s="243" t="s">
        <v>198</v>
      </c>
      <c r="E24" s="210">
        <v>-0.5</v>
      </c>
      <c r="F24" s="258"/>
      <c r="G24" s="227"/>
      <c r="H24" s="227"/>
      <c r="I24" s="227"/>
      <c r="J24" s="227"/>
      <c r="K24" s="227"/>
    </row>
    <row r="25" ht="15.75" customHeight="1">
      <c r="A25" s="230"/>
      <c r="B25" s="230"/>
      <c r="C25" s="227"/>
      <c r="D25" s="210" t="s">
        <v>203</v>
      </c>
      <c r="E25" s="210">
        <v>-1.0</v>
      </c>
      <c r="F25" s="258"/>
      <c r="G25" s="227"/>
      <c r="H25" s="227"/>
      <c r="I25" s="227"/>
      <c r="J25" s="227"/>
      <c r="K25" s="227"/>
    </row>
    <row r="26" ht="15.75" customHeight="1">
      <c r="A26" s="230"/>
      <c r="B26" s="227"/>
      <c r="C26" s="230"/>
      <c r="D26" s="132"/>
      <c r="E26" s="227"/>
      <c r="F26" s="227"/>
      <c r="G26" s="227"/>
      <c r="H26" s="227"/>
      <c r="I26" s="227"/>
      <c r="J26" s="227"/>
      <c r="K26" s="227"/>
    </row>
    <row r="27" ht="15.75" customHeight="1">
      <c r="A27" s="230"/>
      <c r="B27" s="227"/>
      <c r="C27" s="230"/>
      <c r="D27" s="132"/>
      <c r="E27" s="227"/>
      <c r="F27" s="227"/>
      <c r="G27" s="227"/>
      <c r="H27" s="227"/>
      <c r="I27" s="227"/>
      <c r="J27" s="227"/>
      <c r="K27" s="227"/>
    </row>
    <row r="28" ht="15.75" customHeight="1">
      <c r="A28" s="230"/>
      <c r="B28" s="132"/>
      <c r="C28" s="132"/>
      <c r="D28" s="132"/>
      <c r="E28" s="227"/>
      <c r="F28" s="227"/>
      <c r="G28" s="227"/>
      <c r="H28" s="227"/>
      <c r="I28" s="227"/>
      <c r="J28" s="227"/>
      <c r="K28" s="227"/>
    </row>
    <row r="29" ht="15.75" customHeight="1">
      <c r="A29" s="230"/>
      <c r="B29" s="132"/>
      <c r="C29" s="132"/>
      <c r="D29" s="132"/>
      <c r="E29" s="227"/>
      <c r="F29" s="227"/>
      <c r="G29" s="227"/>
      <c r="H29" s="227"/>
      <c r="I29" s="227"/>
      <c r="J29" s="227"/>
      <c r="K29" s="227"/>
    </row>
    <row r="30" ht="15.75" customHeight="1">
      <c r="A30" s="230"/>
      <c r="B30" s="248" t="s">
        <v>394</v>
      </c>
      <c r="C30" s="238"/>
      <c r="D30" s="247"/>
      <c r="E30" s="227"/>
      <c r="F30" s="227"/>
      <c r="G30" s="227"/>
      <c r="H30" s="227"/>
      <c r="I30" s="227"/>
      <c r="J30" s="227"/>
      <c r="K30" s="227"/>
    </row>
    <row r="31" ht="15.75" customHeight="1">
      <c r="A31" s="132"/>
      <c r="B31" s="249" t="s">
        <v>395</v>
      </c>
      <c r="C31" s="250" t="s">
        <v>396</v>
      </c>
      <c r="D31" s="132"/>
      <c r="E31" s="227"/>
      <c r="F31" s="227"/>
      <c r="G31" s="227"/>
      <c r="H31" s="227"/>
      <c r="I31" s="227"/>
      <c r="J31" s="227"/>
      <c r="K31" s="227"/>
    </row>
    <row r="32" ht="15.75" customHeight="1">
      <c r="A32" s="132"/>
      <c r="B32" s="251" t="s">
        <v>397</v>
      </c>
      <c r="C32" s="252" t="s">
        <v>398</v>
      </c>
      <c r="D32" s="132"/>
      <c r="E32" s="227"/>
      <c r="F32" s="227"/>
      <c r="G32" s="227"/>
      <c r="H32" s="227"/>
      <c r="I32" s="227"/>
      <c r="J32" s="227"/>
      <c r="K32" s="227"/>
    </row>
    <row r="33" ht="15.75" customHeight="1">
      <c r="A33" s="132"/>
      <c r="B33" s="132"/>
      <c r="C33" s="132"/>
      <c r="D33" s="132"/>
      <c r="E33" s="227"/>
      <c r="F33" s="227"/>
      <c r="G33" s="227"/>
      <c r="H33" s="227"/>
      <c r="I33" s="227"/>
      <c r="J33" s="227"/>
      <c r="K33" s="227"/>
    </row>
    <row r="34" ht="15.75" customHeight="1">
      <c r="A34" s="132"/>
      <c r="B34" s="132"/>
      <c r="C34" s="132"/>
      <c r="D34" s="132"/>
      <c r="E34" s="227"/>
      <c r="F34" s="227"/>
      <c r="G34" s="227"/>
      <c r="H34" s="227"/>
      <c r="I34" s="227"/>
      <c r="J34" s="227"/>
      <c r="K34" s="227"/>
    </row>
    <row r="35" ht="15.75" customHeight="1">
      <c r="A35" s="132"/>
      <c r="B35" s="132"/>
      <c r="C35" s="132"/>
      <c r="D35" s="132"/>
      <c r="E35" s="227"/>
      <c r="F35" s="227"/>
      <c r="G35" s="227"/>
      <c r="H35" s="227"/>
      <c r="I35" s="227"/>
      <c r="J35" s="227"/>
      <c r="K35" s="227"/>
    </row>
    <row r="36" ht="15.75" customHeight="1">
      <c r="A36" s="230"/>
      <c r="B36" s="132"/>
      <c r="C36" s="132"/>
      <c r="D36" s="132"/>
      <c r="E36" s="227"/>
      <c r="F36" s="227"/>
      <c r="G36" s="227"/>
      <c r="H36" s="227"/>
      <c r="I36" s="227"/>
      <c r="J36" s="227"/>
      <c r="K36" s="227"/>
    </row>
    <row r="37" ht="15.75" customHeight="1">
      <c r="A37" s="132"/>
      <c r="B37" s="132"/>
      <c r="C37" s="132"/>
      <c r="D37" s="132"/>
      <c r="E37" s="227"/>
      <c r="F37" s="227"/>
      <c r="G37" s="227"/>
      <c r="H37" s="227"/>
      <c r="I37" s="227"/>
      <c r="J37" s="227"/>
      <c r="K37" s="227"/>
    </row>
    <row r="38" ht="15.75" customHeight="1">
      <c r="A38" s="132"/>
      <c r="B38" s="132"/>
      <c r="C38" s="132"/>
      <c r="D38" s="132"/>
      <c r="E38" s="227"/>
      <c r="F38" s="227"/>
      <c r="G38" s="227"/>
      <c r="H38" s="227"/>
      <c r="I38" s="227"/>
      <c r="J38" s="227"/>
      <c r="K38" s="227"/>
    </row>
    <row r="39" ht="15.75" customHeight="1">
      <c r="A39" s="132"/>
      <c r="B39" s="132"/>
      <c r="C39" s="132"/>
      <c r="D39" s="132"/>
      <c r="E39" s="227"/>
      <c r="F39" s="227"/>
      <c r="G39" s="227"/>
      <c r="H39" s="227"/>
      <c r="I39" s="227"/>
      <c r="J39" s="227"/>
      <c r="K39" s="227"/>
    </row>
    <row r="40" ht="15.75" customHeight="1">
      <c r="A40" s="132"/>
      <c r="B40" s="132"/>
      <c r="C40" s="132"/>
      <c r="D40" s="132"/>
      <c r="E40" s="227"/>
      <c r="F40" s="227"/>
      <c r="G40" s="227"/>
      <c r="H40" s="227"/>
      <c r="I40" s="227"/>
      <c r="J40" s="227"/>
      <c r="K40" s="227"/>
    </row>
    <row r="41" ht="15.75" customHeight="1">
      <c r="A41" s="132"/>
      <c r="B41" s="132"/>
      <c r="C41" s="132"/>
      <c r="D41" s="132"/>
      <c r="E41" s="227"/>
      <c r="F41" s="227"/>
      <c r="G41" s="227"/>
      <c r="H41" s="227"/>
      <c r="I41" s="227"/>
      <c r="J41" s="227"/>
      <c r="K41" s="227"/>
    </row>
    <row r="42" ht="15.75" customHeight="1">
      <c r="A42" s="132"/>
      <c r="B42" s="132"/>
      <c r="C42" s="132"/>
      <c r="D42" s="132"/>
      <c r="E42" s="227"/>
      <c r="F42" s="227"/>
      <c r="G42" s="227"/>
      <c r="H42" s="227"/>
      <c r="I42" s="227"/>
      <c r="J42" s="227"/>
      <c r="K42" s="227"/>
    </row>
    <row r="43" ht="15.75" customHeight="1">
      <c r="A43" s="132"/>
      <c r="B43" s="132"/>
      <c r="C43" s="132"/>
      <c r="D43" s="132"/>
      <c r="E43" s="227"/>
      <c r="F43" s="227"/>
      <c r="G43" s="227"/>
      <c r="H43" s="227"/>
      <c r="I43" s="227"/>
      <c r="J43" s="227"/>
      <c r="K43" s="227"/>
    </row>
    <row r="44" ht="15.75" customHeight="1">
      <c r="A44" s="132"/>
      <c r="B44" s="132"/>
      <c r="C44" s="132"/>
      <c r="D44" s="132"/>
      <c r="E44" s="227"/>
      <c r="F44" s="227"/>
      <c r="G44" s="227"/>
      <c r="H44" s="227"/>
      <c r="I44" s="227"/>
      <c r="J44" s="227"/>
      <c r="K44" s="227"/>
    </row>
    <row r="45" ht="15.75" customHeight="1">
      <c r="A45" s="132"/>
      <c r="B45" s="132"/>
      <c r="C45" s="132"/>
      <c r="D45" s="132"/>
      <c r="E45" s="227"/>
      <c r="F45" s="227"/>
      <c r="G45" s="227"/>
      <c r="H45" s="227"/>
      <c r="I45" s="227"/>
      <c r="J45" s="227"/>
      <c r="K45" s="227"/>
    </row>
    <row r="46" ht="15.75" customHeight="1">
      <c r="A46" s="132"/>
      <c r="B46" s="132"/>
      <c r="C46" s="132"/>
      <c r="D46" s="132"/>
      <c r="E46" s="227"/>
      <c r="F46" s="227"/>
      <c r="G46" s="227"/>
      <c r="H46" s="227"/>
      <c r="I46" s="227"/>
      <c r="J46" s="227"/>
      <c r="K46" s="227"/>
    </row>
    <row r="47" ht="15.75" customHeight="1">
      <c r="A47" s="132"/>
      <c r="B47" s="132"/>
      <c r="C47" s="132"/>
      <c r="D47" s="132"/>
      <c r="E47" s="227"/>
      <c r="F47" s="227"/>
      <c r="G47" s="227"/>
      <c r="H47" s="227"/>
      <c r="I47" s="227"/>
      <c r="J47" s="227"/>
      <c r="K47" s="227"/>
    </row>
    <row r="48" ht="15.75" customHeight="1">
      <c r="A48" s="132"/>
      <c r="B48" s="132"/>
      <c r="C48" s="132"/>
      <c r="D48" s="132"/>
      <c r="E48" s="227"/>
      <c r="F48" s="227"/>
      <c r="G48" s="227"/>
      <c r="H48" s="227"/>
      <c r="I48" s="227"/>
      <c r="J48" s="227"/>
      <c r="K48" s="227"/>
    </row>
    <row r="49" ht="15.75" customHeight="1">
      <c r="A49" s="132"/>
      <c r="B49" s="132"/>
      <c r="C49" s="132"/>
      <c r="D49" s="132"/>
      <c r="E49" s="227"/>
      <c r="F49" s="227"/>
      <c r="G49" s="227"/>
      <c r="H49" s="227"/>
      <c r="I49" s="227"/>
      <c r="J49" s="227"/>
      <c r="K49" s="227"/>
    </row>
    <row r="50" ht="15.75" customHeight="1">
      <c r="A50" s="132"/>
      <c r="B50" s="132"/>
      <c r="C50" s="132"/>
      <c r="D50" s="132"/>
      <c r="E50" s="227"/>
      <c r="F50" s="227"/>
      <c r="G50" s="227"/>
      <c r="H50" s="227"/>
      <c r="I50" s="227"/>
      <c r="J50" s="227"/>
      <c r="K50" s="22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3"/>
    <mergeCell ref="B8:C8"/>
    <mergeCell ref="D8:E8"/>
    <mergeCell ref="B18:E18"/>
    <mergeCell ref="B19:C19"/>
    <mergeCell ref="D19:E19"/>
    <mergeCell ref="B30:C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3.88"/>
    <col customWidth="1" min="3" max="3" width="22.38"/>
    <col customWidth="1" min="4" max="4" width="24.25"/>
    <col customWidth="1" min="5" max="5" width="18.0"/>
    <col customWidth="1" min="6" max="6" width="12.63"/>
  </cols>
  <sheetData>
    <row r="1" ht="15.75" customHeight="1">
      <c r="A1" s="226" t="s">
        <v>403</v>
      </c>
      <c r="B1" s="187"/>
      <c r="C1" s="187"/>
      <c r="D1" s="187"/>
      <c r="E1" s="188"/>
      <c r="F1" s="227"/>
      <c r="G1" s="227"/>
      <c r="H1" s="227"/>
      <c r="I1" s="227"/>
      <c r="J1" s="227"/>
      <c r="K1" s="227"/>
    </row>
    <row r="2" ht="15.75" customHeight="1">
      <c r="A2" s="228"/>
      <c r="E2" s="193"/>
      <c r="F2" s="227"/>
      <c r="G2" s="227"/>
      <c r="H2" s="227"/>
      <c r="I2" s="227"/>
      <c r="J2" s="227"/>
      <c r="K2" s="227"/>
    </row>
    <row r="3" ht="15.75" customHeight="1">
      <c r="A3" s="229"/>
      <c r="B3" s="195"/>
      <c r="C3" s="195"/>
      <c r="D3" s="195"/>
      <c r="E3" s="196"/>
      <c r="F3" s="230"/>
      <c r="G3" s="227"/>
      <c r="H3" s="227"/>
      <c r="I3" s="227"/>
      <c r="J3" s="227"/>
      <c r="K3" s="227"/>
    </row>
    <row r="4" ht="15.75" customHeight="1">
      <c r="A4" s="227"/>
      <c r="B4" s="227"/>
      <c r="C4" s="227"/>
      <c r="D4" s="227"/>
      <c r="E4" s="227"/>
      <c r="F4" s="230"/>
      <c r="G4" s="227"/>
      <c r="H4" s="227"/>
      <c r="I4" s="227"/>
      <c r="J4" s="227"/>
      <c r="K4" s="227"/>
    </row>
    <row r="5" ht="15.75" customHeight="1">
      <c r="A5" s="231"/>
      <c r="B5" s="232"/>
      <c r="C5" s="227"/>
      <c r="D5" s="227"/>
      <c r="E5" s="227"/>
      <c r="F5" s="227"/>
      <c r="G5" s="227"/>
      <c r="H5" s="227"/>
      <c r="I5" s="227"/>
      <c r="J5" s="227"/>
      <c r="K5" s="227"/>
    </row>
    <row r="6" ht="15.75" customHeight="1">
      <c r="A6" s="233" t="s">
        <v>388</v>
      </c>
      <c r="B6" s="234">
        <v>45917.0</v>
      </c>
      <c r="C6" s="132"/>
      <c r="D6" s="227"/>
      <c r="E6" s="230"/>
      <c r="F6" s="230"/>
      <c r="G6" s="227"/>
      <c r="H6" s="227"/>
      <c r="I6" s="227"/>
      <c r="J6" s="227"/>
      <c r="K6" s="227"/>
    </row>
    <row r="7" ht="15.75" customHeight="1">
      <c r="A7" s="141"/>
      <c r="B7" s="230"/>
      <c r="C7" s="236" t="s">
        <v>390</v>
      </c>
      <c r="D7" s="238"/>
      <c r="E7" s="230"/>
      <c r="F7" s="230"/>
      <c r="G7" s="227"/>
      <c r="H7" s="227"/>
      <c r="I7" s="227"/>
      <c r="J7" s="227"/>
      <c r="K7" s="227"/>
    </row>
    <row r="8" ht="15.75" customHeight="1">
      <c r="A8" s="235" t="s">
        <v>389</v>
      </c>
      <c r="B8" s="230"/>
      <c r="C8" s="257" t="s">
        <v>392</v>
      </c>
      <c r="D8" s="240" t="s">
        <v>83</v>
      </c>
      <c r="E8" s="230"/>
      <c r="F8" s="227"/>
      <c r="G8" s="227"/>
      <c r="H8" s="227"/>
      <c r="I8" s="227"/>
      <c r="J8" s="227"/>
      <c r="K8" s="227"/>
    </row>
    <row r="9" ht="15.75" customHeight="1">
      <c r="A9" s="220" t="s">
        <v>210</v>
      </c>
      <c r="B9" s="230"/>
      <c r="C9" s="243" t="s">
        <v>251</v>
      </c>
      <c r="D9" s="244">
        <v>0.7000000000000028</v>
      </c>
      <c r="E9" s="230"/>
      <c r="F9" s="227"/>
      <c r="G9" s="227"/>
      <c r="H9" s="227"/>
      <c r="I9" s="227"/>
      <c r="J9" s="227"/>
      <c r="K9" s="227"/>
    </row>
    <row r="10" ht="15.75" customHeight="1">
      <c r="A10" s="220" t="s">
        <v>214</v>
      </c>
      <c r="B10" s="132"/>
      <c r="C10" s="132"/>
      <c r="D10" s="132"/>
      <c r="E10" s="132"/>
      <c r="F10" s="227"/>
      <c r="G10" s="227"/>
      <c r="H10" s="227"/>
      <c r="I10" s="227"/>
      <c r="J10" s="227"/>
      <c r="K10" s="227"/>
    </row>
    <row r="11" ht="15.75" customHeight="1">
      <c r="A11" s="141"/>
      <c r="B11" s="132"/>
      <c r="C11" s="132"/>
      <c r="D11" s="141"/>
      <c r="E11" s="132"/>
      <c r="F11" s="227"/>
      <c r="G11" s="227"/>
      <c r="H11" s="227"/>
      <c r="I11" s="227"/>
      <c r="J11" s="227"/>
      <c r="K11" s="227"/>
    </row>
    <row r="12" ht="15.75" customHeight="1">
      <c r="A12" s="132"/>
      <c r="B12" s="132"/>
      <c r="C12" s="132"/>
      <c r="D12" s="141"/>
      <c r="E12" s="132"/>
      <c r="F12" s="247"/>
      <c r="G12" s="227"/>
      <c r="H12" s="227"/>
      <c r="I12" s="227"/>
      <c r="J12" s="227"/>
      <c r="K12" s="227"/>
    </row>
    <row r="13" ht="15.75" customHeight="1">
      <c r="A13" s="132"/>
      <c r="B13" s="132"/>
      <c r="C13" s="132"/>
      <c r="D13" s="141"/>
      <c r="E13" s="132"/>
      <c r="F13" s="247"/>
      <c r="G13" s="247"/>
      <c r="H13" s="227"/>
      <c r="I13" s="227"/>
      <c r="J13" s="227"/>
      <c r="K13" s="227"/>
    </row>
    <row r="14" ht="15.75" customHeight="1">
      <c r="A14" s="132"/>
      <c r="B14" s="132"/>
      <c r="C14" s="132"/>
      <c r="D14" s="132"/>
      <c r="E14" s="132"/>
      <c r="F14" s="230"/>
      <c r="G14" s="227"/>
      <c r="H14" s="227"/>
      <c r="I14" s="227"/>
      <c r="J14" s="227"/>
      <c r="K14" s="227"/>
    </row>
    <row r="15" ht="15.75" customHeight="1">
      <c r="A15" s="132"/>
      <c r="B15" s="230"/>
      <c r="C15" s="236" t="s">
        <v>393</v>
      </c>
      <c r="D15" s="238"/>
      <c r="E15" s="230"/>
      <c r="F15" s="230"/>
      <c r="G15" s="227"/>
      <c r="H15" s="227"/>
      <c r="I15" s="227"/>
      <c r="J15" s="227"/>
      <c r="K15" s="227"/>
    </row>
    <row r="16" ht="15.75" customHeight="1">
      <c r="A16" s="132"/>
      <c r="B16" s="230"/>
      <c r="C16" s="236" t="s">
        <v>74</v>
      </c>
      <c r="D16" s="238"/>
      <c r="E16" s="230"/>
      <c r="F16" s="227"/>
      <c r="G16" s="227"/>
      <c r="H16" s="227"/>
      <c r="I16" s="227"/>
      <c r="J16" s="227"/>
      <c r="K16" s="227"/>
    </row>
    <row r="17" ht="15.75" customHeight="1">
      <c r="A17" s="132"/>
      <c r="B17" s="230"/>
      <c r="C17" s="257" t="s">
        <v>392</v>
      </c>
      <c r="D17" s="240" t="s">
        <v>74</v>
      </c>
      <c r="E17" s="230"/>
      <c r="F17" s="230"/>
      <c r="G17" s="227"/>
      <c r="H17" s="227"/>
      <c r="I17" s="227"/>
      <c r="J17" s="227"/>
      <c r="K17" s="227"/>
    </row>
    <row r="18" ht="15.75" customHeight="1">
      <c r="A18" s="132"/>
      <c r="B18" s="230"/>
      <c r="C18" s="243" t="s">
        <v>209</v>
      </c>
      <c r="D18" s="244">
        <v>-0.5999999999999943</v>
      </c>
      <c r="E18" s="230"/>
      <c r="F18" s="227"/>
      <c r="G18" s="227"/>
      <c r="H18" s="227"/>
      <c r="I18" s="227"/>
      <c r="J18" s="227"/>
      <c r="K18" s="227"/>
    </row>
    <row r="19" ht="15.75" customHeight="1">
      <c r="A19" s="132"/>
      <c r="B19" s="132"/>
      <c r="C19" s="243" t="s">
        <v>249</v>
      </c>
      <c r="D19" s="210">
        <v>-0.8999999999999915</v>
      </c>
      <c r="E19" s="132"/>
      <c r="F19" s="227"/>
      <c r="G19" s="227"/>
      <c r="H19" s="227"/>
      <c r="I19" s="227"/>
      <c r="J19" s="227"/>
      <c r="K19" s="227"/>
    </row>
    <row r="20" ht="15.75" customHeight="1">
      <c r="A20" s="132"/>
      <c r="B20" s="132"/>
      <c r="C20" s="262" t="s">
        <v>250</v>
      </c>
      <c r="D20" s="262">
        <v>-0.9000000000000057</v>
      </c>
      <c r="E20" s="132"/>
      <c r="F20" s="227"/>
      <c r="G20" s="227"/>
      <c r="H20" s="227"/>
      <c r="I20" s="227"/>
      <c r="J20" s="227"/>
      <c r="K20" s="227"/>
    </row>
    <row r="21" ht="15.75" customHeight="1">
      <c r="A21" s="132"/>
      <c r="B21" s="132"/>
      <c r="C21" s="132"/>
      <c r="D21" s="132"/>
      <c r="E21" s="132"/>
      <c r="F21" s="227"/>
      <c r="G21" s="227"/>
      <c r="H21" s="227"/>
      <c r="I21" s="227"/>
      <c r="J21" s="227"/>
      <c r="K21" s="227"/>
    </row>
    <row r="22" ht="15.75" customHeight="1">
      <c r="A22" s="132"/>
      <c r="B22" s="230"/>
      <c r="C22" s="132"/>
      <c r="D22" s="132"/>
      <c r="E22" s="230"/>
      <c r="F22" s="227"/>
      <c r="G22" s="227"/>
      <c r="H22" s="227"/>
      <c r="I22" s="227"/>
      <c r="J22" s="227"/>
      <c r="K22" s="227"/>
    </row>
    <row r="23" ht="15.75" customHeight="1">
      <c r="A23" s="132"/>
      <c r="B23" s="227"/>
      <c r="C23" s="248" t="s">
        <v>394</v>
      </c>
      <c r="D23" s="238"/>
      <c r="E23" s="227"/>
      <c r="F23" s="227"/>
      <c r="G23" s="227"/>
      <c r="H23" s="227"/>
      <c r="I23" s="227"/>
      <c r="J23" s="227"/>
      <c r="K23" s="227"/>
    </row>
    <row r="24" ht="15.75" customHeight="1">
      <c r="A24" s="132"/>
      <c r="B24" s="227"/>
      <c r="C24" s="249" t="s">
        <v>395</v>
      </c>
      <c r="D24" s="250" t="s">
        <v>396</v>
      </c>
      <c r="E24" s="227"/>
      <c r="F24" s="227"/>
      <c r="G24" s="227"/>
      <c r="H24" s="227"/>
      <c r="I24" s="227"/>
      <c r="J24" s="227"/>
      <c r="K24" s="227"/>
    </row>
    <row r="25" ht="15.75" customHeight="1">
      <c r="A25" s="132"/>
      <c r="B25" s="227"/>
      <c r="C25" s="251" t="s">
        <v>397</v>
      </c>
      <c r="D25" s="252" t="s">
        <v>398</v>
      </c>
      <c r="E25" s="227"/>
      <c r="F25" s="227"/>
      <c r="G25" s="227"/>
      <c r="H25" s="227"/>
      <c r="I25" s="227"/>
      <c r="J25" s="227"/>
      <c r="K25" s="227"/>
    </row>
    <row r="26" ht="15.75" customHeight="1">
      <c r="A26" s="132"/>
      <c r="B26" s="227"/>
      <c r="C26" s="132"/>
      <c r="D26" s="132"/>
      <c r="E26" s="227"/>
      <c r="F26" s="227"/>
      <c r="G26" s="227"/>
      <c r="H26" s="227"/>
      <c r="I26" s="227"/>
      <c r="J26" s="227"/>
      <c r="K26" s="227"/>
    </row>
    <row r="27" ht="15.75" customHeight="1">
      <c r="A27" s="132"/>
      <c r="B27" s="227"/>
      <c r="C27" s="132"/>
      <c r="D27" s="132"/>
      <c r="E27" s="227"/>
      <c r="F27" s="227"/>
      <c r="G27" s="227"/>
      <c r="H27" s="227"/>
      <c r="I27" s="227"/>
      <c r="J27" s="227"/>
      <c r="K27" s="227"/>
    </row>
    <row r="28" ht="15.75" customHeight="1">
      <c r="A28" s="132"/>
      <c r="B28" s="227"/>
      <c r="C28" s="132"/>
      <c r="D28" s="132"/>
      <c r="E28" s="227"/>
      <c r="F28" s="227"/>
      <c r="G28" s="227"/>
      <c r="H28" s="227"/>
      <c r="I28" s="227"/>
      <c r="J28" s="227"/>
      <c r="K28" s="227"/>
    </row>
    <row r="29" ht="15.75" customHeight="1">
      <c r="A29" s="132"/>
      <c r="B29" s="227"/>
      <c r="C29" s="132"/>
      <c r="D29" s="132"/>
      <c r="E29" s="227"/>
      <c r="F29" s="227"/>
      <c r="G29" s="227"/>
      <c r="H29" s="227"/>
      <c r="I29" s="227"/>
      <c r="J29" s="227"/>
      <c r="K29" s="227"/>
    </row>
    <row r="30" ht="15.75" customHeight="1">
      <c r="A30" s="230"/>
      <c r="B30" s="227"/>
      <c r="C30" s="132"/>
      <c r="D30" s="132"/>
      <c r="E30" s="227"/>
      <c r="F30" s="227"/>
      <c r="G30" s="227"/>
      <c r="H30" s="227"/>
      <c r="I30" s="227"/>
      <c r="J30" s="227"/>
      <c r="K30" s="227"/>
    </row>
    <row r="31" ht="15.75" customHeight="1">
      <c r="A31" s="132"/>
      <c r="B31" s="227"/>
      <c r="C31" s="132"/>
      <c r="D31" s="132"/>
      <c r="E31" s="227"/>
      <c r="F31" s="227"/>
      <c r="G31" s="227"/>
      <c r="H31" s="227"/>
      <c r="I31" s="227"/>
      <c r="J31" s="227"/>
      <c r="K31" s="227"/>
    </row>
    <row r="32" ht="15.75" customHeight="1">
      <c r="A32" s="132"/>
      <c r="B32" s="227"/>
      <c r="C32" s="132"/>
      <c r="D32" s="132"/>
      <c r="E32" s="227"/>
      <c r="F32" s="227"/>
      <c r="G32" s="227"/>
      <c r="H32" s="227"/>
      <c r="I32" s="227"/>
      <c r="J32" s="227"/>
      <c r="K32" s="227"/>
    </row>
    <row r="33" ht="15.75" customHeight="1">
      <c r="A33" s="132"/>
      <c r="B33" s="227"/>
      <c r="C33" s="132"/>
      <c r="D33" s="132"/>
      <c r="E33" s="227"/>
      <c r="F33" s="227"/>
      <c r="G33" s="227"/>
      <c r="H33" s="227"/>
      <c r="I33" s="227"/>
      <c r="J33" s="227"/>
      <c r="K33" s="227"/>
    </row>
    <row r="34" ht="15.75" customHeight="1">
      <c r="A34" s="132"/>
      <c r="B34" s="227"/>
      <c r="C34" s="132"/>
      <c r="D34" s="132"/>
      <c r="E34" s="227"/>
      <c r="F34" s="227"/>
      <c r="G34" s="227"/>
      <c r="H34" s="227"/>
      <c r="I34" s="227"/>
      <c r="J34" s="227"/>
      <c r="K34" s="227"/>
    </row>
    <row r="35" ht="15.75" customHeight="1">
      <c r="A35" s="132"/>
      <c r="B35" s="227"/>
      <c r="C35" s="132"/>
      <c r="D35" s="132"/>
      <c r="E35" s="227"/>
      <c r="F35" s="227"/>
      <c r="G35" s="227"/>
      <c r="H35" s="227"/>
      <c r="I35" s="227"/>
      <c r="J35" s="227"/>
      <c r="K35" s="227"/>
    </row>
    <row r="36" ht="15.75" customHeight="1">
      <c r="A36" s="132"/>
      <c r="B36" s="227"/>
      <c r="C36" s="132"/>
      <c r="D36" s="132"/>
      <c r="E36" s="227"/>
      <c r="F36" s="227"/>
      <c r="G36" s="227"/>
      <c r="H36" s="227"/>
      <c r="I36" s="227"/>
      <c r="J36" s="227"/>
      <c r="K36" s="227"/>
    </row>
    <row r="37" ht="15.75" customHeight="1">
      <c r="A37" s="132"/>
      <c r="B37" s="227"/>
      <c r="C37" s="132"/>
      <c r="D37" s="132"/>
      <c r="E37" s="227"/>
      <c r="F37" s="227"/>
      <c r="G37" s="227"/>
      <c r="H37" s="227"/>
      <c r="I37" s="227"/>
      <c r="J37" s="227"/>
      <c r="K37" s="227"/>
    </row>
    <row r="38" ht="15.75" customHeight="1">
      <c r="A38" s="132"/>
      <c r="B38" s="227"/>
      <c r="C38" s="132"/>
      <c r="D38" s="132"/>
      <c r="E38" s="227"/>
      <c r="F38" s="227"/>
      <c r="G38" s="227"/>
      <c r="H38" s="227"/>
      <c r="I38" s="227"/>
      <c r="J38" s="227"/>
      <c r="K38" s="227"/>
    </row>
    <row r="39" ht="15.75" customHeight="1">
      <c r="A39" s="132"/>
      <c r="B39" s="227"/>
      <c r="C39" s="132"/>
      <c r="D39" s="132"/>
      <c r="E39" s="227"/>
      <c r="F39" s="227"/>
      <c r="G39" s="227"/>
      <c r="H39" s="227"/>
      <c r="I39" s="227"/>
      <c r="J39" s="227"/>
      <c r="K39" s="227"/>
    </row>
    <row r="40" ht="15.75" customHeight="1">
      <c r="A40" s="132"/>
      <c r="B40" s="227"/>
      <c r="C40" s="132"/>
      <c r="D40" s="132"/>
      <c r="E40" s="227"/>
      <c r="F40" s="227"/>
      <c r="G40" s="227"/>
      <c r="H40" s="227"/>
      <c r="I40" s="227"/>
      <c r="J40" s="227"/>
      <c r="K40" s="227"/>
    </row>
    <row r="41" ht="15.75" customHeight="1">
      <c r="A41" s="132"/>
      <c r="B41" s="227"/>
      <c r="C41" s="132"/>
      <c r="D41" s="132"/>
      <c r="E41" s="227"/>
      <c r="F41" s="227"/>
      <c r="G41" s="227"/>
      <c r="H41" s="227"/>
      <c r="I41" s="227"/>
      <c r="J41" s="227"/>
      <c r="K41" s="227"/>
    </row>
    <row r="42" ht="15.75" customHeight="1">
      <c r="A42" s="132"/>
      <c r="B42" s="132"/>
      <c r="C42" s="132"/>
      <c r="D42" s="132"/>
      <c r="E42" s="227"/>
      <c r="F42" s="227"/>
      <c r="G42" s="227"/>
      <c r="H42" s="227"/>
      <c r="I42" s="227"/>
      <c r="J42" s="227"/>
      <c r="K42" s="227"/>
    </row>
    <row r="43" ht="15.75" customHeight="1">
      <c r="A43" s="132"/>
      <c r="B43" s="132"/>
      <c r="C43" s="132"/>
      <c r="D43" s="132"/>
      <c r="E43" s="227"/>
      <c r="F43" s="227"/>
      <c r="G43" s="227"/>
      <c r="H43" s="227"/>
      <c r="I43" s="227"/>
      <c r="J43" s="227"/>
      <c r="K43" s="227"/>
    </row>
    <row r="44" ht="15.75" customHeight="1">
      <c r="A44" s="132"/>
      <c r="B44" s="132"/>
      <c r="C44" s="132"/>
      <c r="D44" s="132"/>
      <c r="E44" s="227"/>
      <c r="F44" s="227"/>
      <c r="G44" s="227"/>
      <c r="H44" s="227"/>
      <c r="I44" s="227"/>
      <c r="J44" s="227"/>
      <c r="K44" s="22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3"/>
    <mergeCell ref="C7:D7"/>
    <mergeCell ref="C15:D15"/>
    <mergeCell ref="C16:D16"/>
    <mergeCell ref="C23:D2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3.88"/>
    <col customWidth="1" min="3" max="3" width="22.38"/>
    <col customWidth="1" min="4" max="4" width="24.25"/>
    <col customWidth="1" min="5" max="5" width="18.0"/>
    <col customWidth="1" min="6" max="6" width="12.63"/>
  </cols>
  <sheetData>
    <row r="1" ht="15.75" customHeight="1">
      <c r="A1" s="226" t="s">
        <v>404</v>
      </c>
      <c r="B1" s="187"/>
      <c r="C1" s="187"/>
      <c r="D1" s="187"/>
      <c r="E1" s="188"/>
      <c r="F1" s="227"/>
      <c r="G1" s="227"/>
      <c r="H1" s="227"/>
      <c r="I1" s="227"/>
      <c r="J1" s="227"/>
      <c r="K1" s="227"/>
    </row>
    <row r="2" ht="15.75" customHeight="1">
      <c r="A2" s="228"/>
      <c r="E2" s="193"/>
      <c r="F2" s="227"/>
      <c r="G2" s="227"/>
      <c r="H2" s="227"/>
      <c r="I2" s="227"/>
      <c r="J2" s="227"/>
      <c r="K2" s="227"/>
    </row>
    <row r="3" ht="15.75" customHeight="1">
      <c r="A3" s="229"/>
      <c r="B3" s="195"/>
      <c r="C3" s="195"/>
      <c r="D3" s="195"/>
      <c r="E3" s="196"/>
      <c r="F3" s="230"/>
      <c r="G3" s="227"/>
      <c r="H3" s="227"/>
      <c r="I3" s="227"/>
      <c r="J3" s="227"/>
      <c r="K3" s="227"/>
    </row>
    <row r="4" ht="15.75" customHeight="1">
      <c r="A4" s="227"/>
      <c r="B4" s="227"/>
      <c r="C4" s="227"/>
      <c r="D4" s="227"/>
      <c r="E4" s="227"/>
      <c r="F4" s="230"/>
      <c r="G4" s="227"/>
      <c r="H4" s="227"/>
      <c r="I4" s="227"/>
      <c r="J4" s="227"/>
      <c r="K4" s="227"/>
    </row>
    <row r="5" ht="15.75" customHeight="1">
      <c r="A5" s="231"/>
      <c r="B5" s="232"/>
      <c r="C5" s="227"/>
      <c r="D5" s="227"/>
      <c r="E5" s="227"/>
      <c r="F5" s="227"/>
      <c r="G5" s="227"/>
      <c r="H5" s="227"/>
      <c r="I5" s="227"/>
      <c r="J5" s="227"/>
      <c r="K5" s="227"/>
    </row>
    <row r="6" ht="15.75" customHeight="1">
      <c r="A6" s="233" t="s">
        <v>388</v>
      </c>
      <c r="B6" s="234">
        <v>45917.0</v>
      </c>
      <c r="C6" s="132"/>
      <c r="D6" s="227"/>
      <c r="E6" s="230"/>
      <c r="F6" s="230"/>
      <c r="G6" s="227"/>
      <c r="H6" s="227"/>
      <c r="I6" s="227"/>
      <c r="J6" s="227"/>
      <c r="K6" s="227"/>
    </row>
    <row r="7" ht="15.75" customHeight="1">
      <c r="A7" s="141"/>
      <c r="B7" s="141"/>
      <c r="C7" s="132"/>
      <c r="D7" s="227"/>
      <c r="E7" s="230"/>
      <c r="F7" s="230"/>
      <c r="G7" s="227"/>
      <c r="H7" s="227"/>
      <c r="I7" s="227"/>
      <c r="J7" s="227"/>
      <c r="K7" s="227"/>
    </row>
    <row r="8" ht="15.75" customHeight="1">
      <c r="A8" s="235" t="s">
        <v>389</v>
      </c>
      <c r="B8" s="236" t="s">
        <v>390</v>
      </c>
      <c r="C8" s="237"/>
      <c r="D8" s="263" t="s">
        <v>391</v>
      </c>
      <c r="E8" s="238"/>
      <c r="F8" s="227"/>
      <c r="G8" s="227"/>
      <c r="H8" s="227"/>
      <c r="I8" s="227"/>
      <c r="J8" s="227"/>
      <c r="K8" s="227"/>
    </row>
    <row r="9" ht="15.75" customHeight="1">
      <c r="A9" s="220" t="s">
        <v>292</v>
      </c>
      <c r="B9" s="239" t="s">
        <v>392</v>
      </c>
      <c r="C9" s="240" t="s">
        <v>83</v>
      </c>
      <c r="D9" s="241" t="s">
        <v>392</v>
      </c>
      <c r="E9" s="240" t="s">
        <v>83</v>
      </c>
      <c r="F9" s="227"/>
      <c r="G9" s="227"/>
      <c r="H9" s="227"/>
      <c r="I9" s="227"/>
      <c r="J9" s="227"/>
      <c r="K9" s="227"/>
    </row>
    <row r="10" ht="15.75" customHeight="1">
      <c r="A10" s="220" t="s">
        <v>309</v>
      </c>
      <c r="B10" s="243" t="s">
        <v>278</v>
      </c>
      <c r="C10" s="243">
        <v>0.7999999999999972</v>
      </c>
      <c r="D10" s="243" t="s">
        <v>268</v>
      </c>
      <c r="E10" s="244">
        <v>-1.2000000000000028</v>
      </c>
      <c r="F10" s="227"/>
      <c r="G10" s="227"/>
      <c r="H10" s="227"/>
      <c r="I10" s="227"/>
      <c r="J10" s="227"/>
      <c r="K10" s="227"/>
    </row>
    <row r="11" ht="15.75" customHeight="1">
      <c r="A11" s="230"/>
      <c r="B11" s="243" t="s">
        <v>302</v>
      </c>
      <c r="C11" s="210">
        <v>1.2999999999999972</v>
      </c>
      <c r="D11" s="243" t="s">
        <v>303</v>
      </c>
      <c r="E11" s="210">
        <v>-1.2000000000000028</v>
      </c>
      <c r="F11" s="227"/>
      <c r="G11" s="227"/>
      <c r="H11" s="227"/>
      <c r="I11" s="227"/>
      <c r="J11" s="227"/>
      <c r="K11" s="227"/>
    </row>
    <row r="12" ht="15.75" customHeight="1">
      <c r="A12" s="230"/>
      <c r="B12" s="243" t="s">
        <v>307</v>
      </c>
      <c r="C12" s="243">
        <v>0.7000000000000028</v>
      </c>
      <c r="D12" s="230"/>
      <c r="E12" s="230"/>
      <c r="F12" s="230"/>
      <c r="G12" s="230"/>
      <c r="H12" s="227"/>
      <c r="I12" s="227"/>
      <c r="J12" s="227"/>
      <c r="K12" s="227"/>
    </row>
    <row r="13" ht="15.75" customHeight="1">
      <c r="A13" s="230"/>
      <c r="B13" s="243" t="s">
        <v>316</v>
      </c>
      <c r="C13" s="210">
        <v>0.7999999999999972</v>
      </c>
      <c r="D13" s="230"/>
      <c r="E13" s="230"/>
      <c r="F13" s="230"/>
      <c r="G13" s="230"/>
      <c r="H13" s="227"/>
      <c r="I13" s="227"/>
      <c r="J13" s="227"/>
      <c r="K13" s="227"/>
    </row>
    <row r="14" ht="15.75" customHeight="1">
      <c r="A14" s="230"/>
      <c r="B14" s="230"/>
      <c r="C14" s="230"/>
      <c r="D14" s="230"/>
      <c r="E14" s="227"/>
      <c r="F14" s="230"/>
      <c r="G14" s="227"/>
      <c r="H14" s="227"/>
      <c r="I14" s="227"/>
      <c r="J14" s="227"/>
      <c r="K14" s="227"/>
    </row>
    <row r="15" ht="15.75" customHeight="1">
      <c r="A15" s="230"/>
      <c r="B15" s="132"/>
      <c r="C15" s="141"/>
      <c r="D15" s="227"/>
      <c r="E15" s="230"/>
      <c r="F15" s="247"/>
      <c r="G15" s="247"/>
      <c r="H15" s="227"/>
      <c r="I15" s="227"/>
      <c r="J15" s="227"/>
      <c r="K15" s="227"/>
    </row>
    <row r="16" ht="15.75" customHeight="1">
      <c r="A16" s="230"/>
      <c r="B16" s="132"/>
      <c r="C16" s="141"/>
      <c r="D16" s="227"/>
      <c r="E16" s="230"/>
      <c r="F16" s="230"/>
      <c r="G16" s="227"/>
      <c r="H16" s="227"/>
      <c r="I16" s="227"/>
      <c r="J16" s="227"/>
      <c r="K16" s="227"/>
    </row>
    <row r="17" ht="15.75" customHeight="1">
      <c r="A17" s="230"/>
      <c r="B17" s="132"/>
      <c r="C17" s="132"/>
      <c r="D17" s="227"/>
      <c r="E17" s="230"/>
      <c r="F17" s="230"/>
      <c r="G17" s="227"/>
      <c r="H17" s="227"/>
      <c r="I17" s="227"/>
      <c r="J17" s="227"/>
      <c r="K17" s="227"/>
    </row>
    <row r="18" ht="15.75" customHeight="1">
      <c r="A18" s="230"/>
      <c r="B18" s="236" t="s">
        <v>393</v>
      </c>
      <c r="C18" s="237"/>
      <c r="D18" s="237"/>
      <c r="E18" s="238"/>
      <c r="F18" s="227"/>
      <c r="G18" s="227"/>
      <c r="H18" s="227"/>
      <c r="I18" s="227"/>
      <c r="J18" s="227"/>
      <c r="K18" s="227"/>
    </row>
    <row r="19" ht="15.75" customHeight="1">
      <c r="A19" s="230"/>
      <c r="B19" s="236" t="s">
        <v>17</v>
      </c>
      <c r="C19" s="238"/>
      <c r="D19" s="236" t="s">
        <v>74</v>
      </c>
      <c r="E19" s="238"/>
      <c r="F19" s="230"/>
      <c r="G19" s="227"/>
      <c r="H19" s="227"/>
      <c r="I19" s="227"/>
      <c r="J19" s="227"/>
      <c r="K19" s="227"/>
    </row>
    <row r="20" ht="15.75" customHeight="1">
      <c r="A20" s="230"/>
      <c r="B20" s="257" t="s">
        <v>392</v>
      </c>
      <c r="C20" s="240" t="s">
        <v>17</v>
      </c>
      <c r="D20" s="257" t="s">
        <v>392</v>
      </c>
      <c r="E20" s="240" t="s">
        <v>74</v>
      </c>
      <c r="F20" s="227"/>
      <c r="G20" s="227"/>
      <c r="H20" s="227"/>
      <c r="I20" s="227"/>
      <c r="J20" s="227"/>
      <c r="K20" s="227"/>
    </row>
    <row r="21" ht="15.75" customHeight="1">
      <c r="A21" s="132"/>
      <c r="B21" s="264"/>
      <c r="C21" s="264"/>
      <c r="D21" s="264"/>
      <c r="E21" s="265"/>
      <c r="F21" s="227"/>
      <c r="G21" s="227"/>
      <c r="H21" s="227"/>
      <c r="I21" s="227"/>
      <c r="J21" s="227"/>
      <c r="K21" s="227"/>
    </row>
    <row r="22" ht="15.75" customHeight="1">
      <c r="A22" s="132"/>
      <c r="B22" s="264"/>
      <c r="C22" s="22"/>
      <c r="D22" s="264"/>
      <c r="E22" s="22"/>
      <c r="F22" s="227"/>
      <c r="G22" s="227"/>
      <c r="H22" s="227"/>
      <c r="I22" s="227"/>
      <c r="J22" s="227"/>
      <c r="K22" s="227"/>
    </row>
    <row r="23" ht="15.75" customHeight="1">
      <c r="A23" s="132"/>
      <c r="B23" s="230"/>
      <c r="C23" s="230"/>
      <c r="D23" s="230"/>
      <c r="E23" s="230"/>
      <c r="F23" s="227"/>
      <c r="G23" s="227"/>
      <c r="H23" s="227"/>
      <c r="I23" s="227"/>
      <c r="J23" s="227"/>
      <c r="K23" s="227"/>
    </row>
    <row r="24" ht="15.75" customHeight="1">
      <c r="A24" s="132"/>
      <c r="B24" s="230"/>
      <c r="C24" s="230"/>
      <c r="D24" s="230"/>
      <c r="E24" s="230"/>
      <c r="F24" s="227"/>
      <c r="G24" s="227"/>
      <c r="H24" s="227"/>
      <c r="I24" s="227"/>
      <c r="J24" s="227"/>
      <c r="K24" s="227"/>
    </row>
    <row r="25" ht="15.75" customHeight="1">
      <c r="A25" s="230"/>
      <c r="B25" s="230"/>
      <c r="C25" s="230"/>
      <c r="D25" s="230"/>
      <c r="E25" s="230"/>
      <c r="F25" s="227"/>
      <c r="G25" s="227"/>
      <c r="H25" s="227"/>
      <c r="I25" s="227"/>
      <c r="J25" s="227"/>
      <c r="K25" s="227"/>
    </row>
    <row r="26" ht="15.75" customHeight="1">
      <c r="A26" s="230"/>
      <c r="B26" s="230"/>
      <c r="C26" s="230"/>
      <c r="D26" s="230"/>
      <c r="E26" s="230"/>
      <c r="F26" s="227"/>
      <c r="G26" s="227"/>
      <c r="H26" s="227"/>
      <c r="I26" s="227"/>
      <c r="J26" s="227"/>
      <c r="K26" s="227"/>
    </row>
    <row r="27" ht="15.75" customHeight="1">
      <c r="A27" s="230"/>
      <c r="B27" s="230"/>
      <c r="C27" s="230"/>
      <c r="D27" s="132"/>
      <c r="E27" s="227"/>
      <c r="F27" s="227"/>
      <c r="G27" s="227"/>
      <c r="H27" s="227"/>
      <c r="I27" s="227"/>
      <c r="J27" s="227"/>
      <c r="K27" s="227"/>
    </row>
    <row r="28" ht="15.75" customHeight="1">
      <c r="A28" s="230"/>
      <c r="B28" s="132"/>
      <c r="C28" s="132"/>
      <c r="D28" s="132"/>
      <c r="E28" s="227"/>
      <c r="F28" s="227"/>
      <c r="G28" s="227"/>
      <c r="H28" s="227"/>
      <c r="I28" s="227"/>
      <c r="J28" s="227"/>
      <c r="K28" s="227"/>
    </row>
    <row r="29" ht="15.75" customHeight="1">
      <c r="A29" s="230"/>
      <c r="B29" s="132"/>
      <c r="C29" s="132"/>
      <c r="D29" s="132"/>
      <c r="E29" s="227"/>
      <c r="F29" s="227"/>
      <c r="G29" s="227"/>
      <c r="H29" s="227"/>
      <c r="I29" s="227"/>
      <c r="J29" s="227"/>
      <c r="K29" s="227"/>
    </row>
    <row r="30" ht="15.75" customHeight="1">
      <c r="A30" s="230"/>
      <c r="B30" s="248" t="s">
        <v>394</v>
      </c>
      <c r="C30" s="238"/>
      <c r="D30" s="247"/>
      <c r="E30" s="227"/>
      <c r="F30" s="227"/>
      <c r="G30" s="227"/>
      <c r="H30" s="227"/>
      <c r="I30" s="227"/>
      <c r="J30" s="227"/>
      <c r="K30" s="227"/>
    </row>
    <row r="31" ht="15.75" customHeight="1">
      <c r="A31" s="132"/>
      <c r="B31" s="249" t="s">
        <v>395</v>
      </c>
      <c r="C31" s="250" t="s">
        <v>396</v>
      </c>
      <c r="D31" s="132"/>
      <c r="E31" s="227"/>
      <c r="F31" s="227"/>
      <c r="G31" s="227"/>
      <c r="H31" s="227"/>
      <c r="I31" s="227"/>
      <c r="J31" s="227"/>
      <c r="K31" s="227"/>
    </row>
    <row r="32" ht="15.75" customHeight="1">
      <c r="A32" s="132"/>
      <c r="B32" s="251" t="s">
        <v>397</v>
      </c>
      <c r="C32" s="252" t="s">
        <v>398</v>
      </c>
      <c r="D32" s="132"/>
      <c r="E32" s="227"/>
      <c r="F32" s="227"/>
      <c r="G32" s="227"/>
      <c r="H32" s="227"/>
      <c r="I32" s="227"/>
      <c r="J32" s="227"/>
      <c r="K32" s="227"/>
    </row>
    <row r="33" ht="15.75" customHeight="1">
      <c r="A33" s="132"/>
      <c r="B33" s="132"/>
      <c r="C33" s="132"/>
      <c r="D33" s="132"/>
      <c r="E33" s="227"/>
      <c r="F33" s="227"/>
      <c r="G33" s="227"/>
      <c r="H33" s="227"/>
      <c r="I33" s="227"/>
      <c r="J33" s="227"/>
      <c r="K33" s="227"/>
    </row>
    <row r="34" ht="15.75" customHeight="1">
      <c r="A34" s="132"/>
      <c r="B34" s="132"/>
      <c r="C34" s="132"/>
      <c r="D34" s="132"/>
      <c r="E34" s="227"/>
      <c r="F34" s="227"/>
      <c r="G34" s="227"/>
      <c r="H34" s="227"/>
      <c r="I34" s="227"/>
      <c r="J34" s="227"/>
      <c r="K34" s="227"/>
    </row>
    <row r="35" ht="15.75" customHeight="1">
      <c r="A35" s="132"/>
      <c r="B35" s="132"/>
      <c r="C35" s="132"/>
      <c r="D35" s="132"/>
      <c r="E35" s="227"/>
      <c r="F35" s="227"/>
      <c r="G35" s="227"/>
      <c r="H35" s="227"/>
      <c r="I35" s="227"/>
      <c r="J35" s="227"/>
      <c r="K35" s="227"/>
    </row>
    <row r="36" ht="15.75" customHeight="1">
      <c r="A36" s="230"/>
      <c r="B36" s="132"/>
      <c r="C36" s="132"/>
      <c r="D36" s="132"/>
      <c r="E36" s="227"/>
      <c r="F36" s="227"/>
      <c r="G36" s="227"/>
      <c r="H36" s="227"/>
      <c r="I36" s="227"/>
      <c r="J36" s="227"/>
      <c r="K36" s="227"/>
    </row>
    <row r="37" ht="15.75" customHeight="1">
      <c r="A37" s="132"/>
      <c r="B37" s="132"/>
      <c r="C37" s="132"/>
      <c r="D37" s="132"/>
      <c r="E37" s="227"/>
      <c r="F37" s="227"/>
      <c r="G37" s="227"/>
      <c r="H37" s="227"/>
      <c r="I37" s="227"/>
      <c r="J37" s="227"/>
      <c r="K37" s="227"/>
    </row>
    <row r="38" ht="15.75" customHeight="1">
      <c r="A38" s="132"/>
      <c r="B38" s="132"/>
      <c r="C38" s="132"/>
      <c r="D38" s="132"/>
      <c r="E38" s="227"/>
      <c r="F38" s="227"/>
      <c r="G38" s="227"/>
      <c r="H38" s="227"/>
      <c r="I38" s="227"/>
      <c r="J38" s="227"/>
      <c r="K38" s="227"/>
    </row>
    <row r="39" ht="15.75" customHeight="1">
      <c r="A39" s="132"/>
      <c r="B39" s="132"/>
      <c r="C39" s="132"/>
      <c r="D39" s="132"/>
      <c r="E39" s="227"/>
      <c r="F39" s="227"/>
      <c r="G39" s="227"/>
      <c r="H39" s="227"/>
      <c r="I39" s="227"/>
      <c r="J39" s="227"/>
      <c r="K39" s="227"/>
    </row>
    <row r="40" ht="15.75" customHeight="1">
      <c r="A40" s="132"/>
      <c r="B40" s="132"/>
      <c r="C40" s="132"/>
      <c r="D40" s="132"/>
      <c r="E40" s="227"/>
      <c r="F40" s="227"/>
      <c r="G40" s="227"/>
      <c r="H40" s="227"/>
      <c r="I40" s="227"/>
      <c r="J40" s="227"/>
      <c r="K40" s="227"/>
    </row>
    <row r="41" ht="15.75" customHeight="1">
      <c r="A41" s="132"/>
      <c r="B41" s="132"/>
      <c r="C41" s="132"/>
      <c r="D41" s="132"/>
      <c r="E41" s="227"/>
      <c r="F41" s="227"/>
      <c r="G41" s="227"/>
      <c r="H41" s="227"/>
      <c r="I41" s="227"/>
      <c r="J41" s="227"/>
      <c r="K41" s="227"/>
    </row>
    <row r="42" ht="15.75" customHeight="1">
      <c r="A42" s="132"/>
      <c r="B42" s="132"/>
      <c r="C42" s="132"/>
      <c r="D42" s="132"/>
      <c r="E42" s="227"/>
      <c r="F42" s="227"/>
      <c r="G42" s="227"/>
      <c r="H42" s="227"/>
      <c r="I42" s="227"/>
      <c r="J42" s="227"/>
      <c r="K42" s="227"/>
    </row>
    <row r="43" ht="15.75" customHeight="1">
      <c r="A43" s="132"/>
      <c r="B43" s="132"/>
      <c r="C43" s="132"/>
      <c r="D43" s="132"/>
      <c r="E43" s="227"/>
      <c r="F43" s="227"/>
      <c r="G43" s="227"/>
      <c r="H43" s="227"/>
      <c r="I43" s="227"/>
      <c r="J43" s="227"/>
      <c r="K43" s="227"/>
    </row>
    <row r="44" ht="15.75" customHeight="1">
      <c r="A44" s="132"/>
      <c r="B44" s="132"/>
      <c r="C44" s="132"/>
      <c r="D44" s="132"/>
      <c r="E44" s="227"/>
      <c r="F44" s="227"/>
      <c r="G44" s="227"/>
      <c r="H44" s="227"/>
      <c r="I44" s="227"/>
      <c r="J44" s="227"/>
      <c r="K44" s="227"/>
    </row>
    <row r="45" ht="15.75" customHeight="1">
      <c r="A45" s="132"/>
      <c r="B45" s="132"/>
      <c r="C45" s="132"/>
      <c r="D45" s="132"/>
      <c r="E45" s="227"/>
      <c r="F45" s="227"/>
      <c r="G45" s="227"/>
      <c r="H45" s="227"/>
      <c r="I45" s="227"/>
      <c r="J45" s="227"/>
      <c r="K45" s="227"/>
    </row>
    <row r="46" ht="15.75" customHeight="1">
      <c r="A46" s="132"/>
      <c r="B46" s="132"/>
      <c r="C46" s="132"/>
      <c r="D46" s="132"/>
      <c r="E46" s="227"/>
      <c r="F46" s="227"/>
      <c r="G46" s="227"/>
      <c r="H46" s="227"/>
      <c r="I46" s="227"/>
      <c r="J46" s="227"/>
      <c r="K46" s="227"/>
    </row>
    <row r="47" ht="15.75" customHeight="1">
      <c r="A47" s="132"/>
      <c r="B47" s="132"/>
      <c r="C47" s="132"/>
      <c r="D47" s="132"/>
      <c r="E47" s="227"/>
      <c r="F47" s="227"/>
      <c r="G47" s="227"/>
      <c r="H47" s="227"/>
      <c r="I47" s="227"/>
      <c r="J47" s="227"/>
      <c r="K47" s="227"/>
    </row>
    <row r="48" ht="15.75" customHeight="1">
      <c r="A48" s="132"/>
      <c r="B48" s="132"/>
      <c r="C48" s="132"/>
      <c r="D48" s="132"/>
      <c r="E48" s="227"/>
      <c r="F48" s="227"/>
      <c r="G48" s="227"/>
      <c r="H48" s="227"/>
      <c r="I48" s="227"/>
      <c r="J48" s="227"/>
      <c r="K48" s="227"/>
    </row>
    <row r="49" ht="15.75" customHeight="1">
      <c r="A49" s="132"/>
      <c r="B49" s="132"/>
      <c r="C49" s="132"/>
      <c r="D49" s="132"/>
      <c r="E49" s="227"/>
      <c r="F49" s="227"/>
      <c r="G49" s="227"/>
      <c r="H49" s="227"/>
      <c r="I49" s="227"/>
      <c r="J49" s="227"/>
      <c r="K49" s="227"/>
    </row>
    <row r="50" ht="15.75" customHeight="1">
      <c r="A50" s="132"/>
      <c r="B50" s="132"/>
      <c r="C50" s="132"/>
      <c r="D50" s="132"/>
      <c r="E50" s="227"/>
      <c r="F50" s="227"/>
      <c r="G50" s="227"/>
      <c r="H50" s="227"/>
      <c r="I50" s="227"/>
      <c r="J50" s="227"/>
      <c r="K50" s="22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3"/>
    <mergeCell ref="B8:C8"/>
    <mergeCell ref="D8:E8"/>
    <mergeCell ref="B18:E18"/>
    <mergeCell ref="B19:C19"/>
    <mergeCell ref="D19:E19"/>
    <mergeCell ref="B30:C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3.88"/>
    <col customWidth="1" min="3" max="3" width="22.38"/>
    <col customWidth="1" min="4" max="4" width="24.25"/>
    <col customWidth="1" min="5" max="5" width="18.0"/>
    <col customWidth="1" min="6" max="6" width="12.63"/>
  </cols>
  <sheetData>
    <row r="1" ht="15.75" customHeight="1">
      <c r="A1" s="226" t="s">
        <v>405</v>
      </c>
      <c r="B1" s="187"/>
      <c r="C1" s="187"/>
      <c r="D1" s="187"/>
      <c r="E1" s="188"/>
      <c r="F1" s="227"/>
      <c r="G1" s="227"/>
      <c r="H1" s="227"/>
      <c r="I1" s="227"/>
      <c r="J1" s="227"/>
      <c r="K1" s="227"/>
    </row>
    <row r="2" ht="15.75" customHeight="1">
      <c r="A2" s="228"/>
      <c r="E2" s="193"/>
      <c r="F2" s="227"/>
      <c r="G2" s="227"/>
      <c r="H2" s="227"/>
      <c r="I2" s="227"/>
      <c r="J2" s="227"/>
      <c r="K2" s="227"/>
    </row>
    <row r="3" ht="15.75" customHeight="1">
      <c r="A3" s="229"/>
      <c r="B3" s="195"/>
      <c r="C3" s="195"/>
      <c r="D3" s="195"/>
      <c r="E3" s="196"/>
      <c r="F3" s="230"/>
      <c r="G3" s="227"/>
      <c r="H3" s="227"/>
      <c r="I3" s="227"/>
      <c r="J3" s="227"/>
      <c r="K3" s="227"/>
    </row>
    <row r="4" ht="15.75" customHeight="1">
      <c r="A4" s="227"/>
      <c r="B4" s="227"/>
      <c r="C4" s="227"/>
      <c r="D4" s="227"/>
      <c r="E4" s="227"/>
      <c r="F4" s="230"/>
      <c r="G4" s="227"/>
      <c r="H4" s="227"/>
      <c r="I4" s="227"/>
      <c r="J4" s="227"/>
      <c r="K4" s="227"/>
    </row>
    <row r="5" ht="15.75" customHeight="1">
      <c r="A5" s="231"/>
      <c r="B5" s="232"/>
      <c r="C5" s="227"/>
      <c r="D5" s="227"/>
      <c r="E5" s="227"/>
      <c r="F5" s="227"/>
      <c r="G5" s="227"/>
      <c r="H5" s="227"/>
      <c r="I5" s="227"/>
      <c r="J5" s="227"/>
      <c r="K5" s="227"/>
    </row>
    <row r="6" ht="15.75" customHeight="1">
      <c r="A6" s="233" t="s">
        <v>388</v>
      </c>
      <c r="B6" s="234">
        <v>45910.0</v>
      </c>
      <c r="C6" s="132"/>
      <c r="D6" s="227"/>
      <c r="E6" s="230"/>
      <c r="F6" s="230"/>
      <c r="G6" s="227"/>
      <c r="H6" s="227"/>
      <c r="I6" s="227"/>
      <c r="J6" s="227"/>
      <c r="K6" s="227"/>
    </row>
    <row r="7" ht="15.75" customHeight="1">
      <c r="A7" s="141"/>
      <c r="B7" s="141"/>
      <c r="C7" s="132"/>
      <c r="D7" s="227"/>
      <c r="E7" s="230"/>
      <c r="F7" s="230"/>
      <c r="G7" s="227"/>
      <c r="H7" s="227"/>
      <c r="I7" s="227"/>
      <c r="J7" s="227"/>
      <c r="K7" s="227"/>
    </row>
    <row r="8" ht="15.75" customHeight="1">
      <c r="A8" s="235" t="s">
        <v>389</v>
      </c>
      <c r="B8" s="236" t="s">
        <v>390</v>
      </c>
      <c r="C8" s="237"/>
      <c r="D8" s="236" t="s">
        <v>391</v>
      </c>
      <c r="E8" s="238"/>
      <c r="F8" s="227"/>
      <c r="G8" s="227"/>
      <c r="H8" s="227"/>
      <c r="I8" s="227"/>
      <c r="J8" s="227"/>
      <c r="K8" s="227"/>
    </row>
    <row r="9" ht="15.75" customHeight="1">
      <c r="A9" s="242"/>
      <c r="B9" s="239" t="s">
        <v>392</v>
      </c>
      <c r="C9" s="240" t="s">
        <v>83</v>
      </c>
      <c r="D9" s="241" t="s">
        <v>392</v>
      </c>
      <c r="E9" s="240" t="s">
        <v>83</v>
      </c>
      <c r="F9" s="227"/>
      <c r="G9" s="227"/>
      <c r="H9" s="227"/>
      <c r="I9" s="227"/>
      <c r="J9" s="227"/>
      <c r="K9" s="227"/>
    </row>
    <row r="10" ht="15.75" customHeight="1">
      <c r="A10" s="242"/>
      <c r="B10" s="264"/>
      <c r="C10" s="264"/>
      <c r="D10" s="264"/>
      <c r="E10" s="265"/>
      <c r="F10" s="227"/>
      <c r="G10" s="227"/>
      <c r="H10" s="227"/>
      <c r="I10" s="227"/>
      <c r="J10" s="227"/>
      <c r="K10" s="227"/>
    </row>
    <row r="11" ht="15.75" customHeight="1">
      <c r="A11" s="264"/>
      <c r="B11" s="264"/>
      <c r="C11" s="22"/>
      <c r="D11" s="264"/>
      <c r="E11" s="22"/>
      <c r="F11" s="227"/>
      <c r="G11" s="227"/>
      <c r="H11" s="227"/>
      <c r="I11" s="227"/>
      <c r="J11" s="227"/>
      <c r="K11" s="227"/>
    </row>
    <row r="12" ht="15.75" customHeight="1">
      <c r="A12" s="22"/>
      <c r="B12" s="264"/>
      <c r="C12" s="264"/>
      <c r="D12" s="264"/>
      <c r="E12" s="22"/>
      <c r="F12" s="247"/>
      <c r="G12" s="227"/>
      <c r="H12" s="227"/>
      <c r="I12" s="227"/>
      <c r="J12" s="227"/>
      <c r="K12" s="227"/>
    </row>
    <row r="13" ht="15.75" customHeight="1">
      <c r="A13" s="242"/>
      <c r="B13" s="264"/>
      <c r="C13" s="22"/>
      <c r="D13" s="264"/>
      <c r="E13" s="22"/>
      <c r="F13" s="247"/>
      <c r="G13" s="227"/>
      <c r="H13" s="227"/>
      <c r="I13" s="227"/>
      <c r="J13" s="227"/>
      <c r="K13" s="227"/>
    </row>
    <row r="14" ht="15.75" customHeight="1">
      <c r="A14" s="264"/>
      <c r="B14" s="22"/>
      <c r="C14" s="22"/>
      <c r="D14" s="22"/>
      <c r="E14" s="22"/>
      <c r="F14" s="230"/>
      <c r="G14" s="227"/>
      <c r="H14" s="227"/>
      <c r="I14" s="227"/>
      <c r="J14" s="227"/>
      <c r="K14" s="227"/>
    </row>
    <row r="15" ht="15.75" customHeight="1">
      <c r="A15" s="22"/>
      <c r="B15" s="132"/>
      <c r="C15" s="141"/>
      <c r="D15" s="266"/>
      <c r="E15" s="247"/>
      <c r="G15" s="247"/>
      <c r="H15" s="227"/>
      <c r="I15" s="227"/>
      <c r="J15" s="227"/>
      <c r="K15" s="227"/>
    </row>
    <row r="16" ht="15.75" customHeight="1">
      <c r="A16" s="132"/>
      <c r="B16" s="132"/>
      <c r="C16" s="141"/>
      <c r="D16" s="227"/>
      <c r="E16" s="230"/>
      <c r="F16" s="230"/>
      <c r="G16" s="227"/>
      <c r="H16" s="227"/>
      <c r="I16" s="227"/>
      <c r="J16" s="227"/>
      <c r="K16" s="227"/>
    </row>
    <row r="17" ht="15.75" customHeight="1">
      <c r="A17" s="132"/>
      <c r="B17" s="132"/>
      <c r="C17" s="132"/>
      <c r="D17" s="227"/>
      <c r="E17" s="230"/>
      <c r="F17" s="230"/>
      <c r="G17" s="227"/>
      <c r="H17" s="227"/>
      <c r="I17" s="227"/>
      <c r="J17" s="227"/>
      <c r="K17" s="227"/>
    </row>
    <row r="18" ht="15.75" customHeight="1">
      <c r="A18" s="132"/>
      <c r="B18" s="236" t="s">
        <v>393</v>
      </c>
      <c r="C18" s="237"/>
      <c r="D18" s="237"/>
      <c r="E18" s="238"/>
      <c r="F18" s="227"/>
      <c r="G18" s="227"/>
      <c r="H18" s="227"/>
      <c r="I18" s="227"/>
      <c r="J18" s="227"/>
      <c r="K18" s="227"/>
    </row>
    <row r="19" ht="15.75" customHeight="1">
      <c r="A19" s="132"/>
      <c r="B19" s="236" t="s">
        <v>17</v>
      </c>
      <c r="C19" s="238"/>
      <c r="D19" s="236" t="s">
        <v>74</v>
      </c>
      <c r="E19" s="238"/>
      <c r="F19" s="230"/>
      <c r="G19" s="227"/>
      <c r="H19" s="227"/>
      <c r="I19" s="227"/>
      <c r="J19" s="227"/>
      <c r="K19" s="227"/>
    </row>
    <row r="20" ht="15.75" customHeight="1">
      <c r="A20" s="132"/>
      <c r="B20" s="257" t="s">
        <v>392</v>
      </c>
      <c r="C20" s="240" t="s">
        <v>17</v>
      </c>
      <c r="D20" s="257" t="s">
        <v>392</v>
      </c>
      <c r="E20" s="240" t="s">
        <v>74</v>
      </c>
      <c r="F20" s="227"/>
      <c r="G20" s="227"/>
      <c r="H20" s="227"/>
      <c r="I20" s="227"/>
      <c r="J20" s="227"/>
      <c r="K20" s="227"/>
    </row>
    <row r="21" ht="15.75" customHeight="1">
      <c r="A21" s="132"/>
      <c r="B21" s="264"/>
      <c r="C21" s="264"/>
      <c r="D21" s="267"/>
      <c r="E21" s="22"/>
      <c r="F21" s="227"/>
      <c r="G21" s="227"/>
      <c r="H21" s="227"/>
      <c r="I21" s="227"/>
      <c r="J21" s="227"/>
      <c r="K21" s="227"/>
    </row>
    <row r="22" ht="15.75" customHeight="1">
      <c r="A22" s="132"/>
      <c r="B22" s="264"/>
      <c r="C22" s="111"/>
      <c r="D22" s="22"/>
      <c r="E22" s="22"/>
      <c r="F22" s="227"/>
      <c r="G22" s="227"/>
      <c r="H22" s="227"/>
      <c r="I22" s="227"/>
      <c r="J22" s="227"/>
      <c r="K22" s="227"/>
    </row>
    <row r="23" ht="15.75" customHeight="1">
      <c r="A23" s="132"/>
      <c r="B23" s="22"/>
      <c r="C23" s="111"/>
      <c r="D23" s="22"/>
      <c r="E23" s="22"/>
      <c r="F23" s="227"/>
      <c r="G23" s="227"/>
      <c r="H23" s="227"/>
      <c r="I23" s="227"/>
      <c r="J23" s="227"/>
      <c r="K23" s="227"/>
    </row>
    <row r="24" ht="15.75" customHeight="1">
      <c r="A24" s="132"/>
      <c r="B24" s="264"/>
      <c r="C24" s="264"/>
      <c r="D24" s="22"/>
      <c r="E24" s="22"/>
      <c r="F24" s="227"/>
      <c r="G24" s="227"/>
      <c r="H24" s="227"/>
      <c r="I24" s="227"/>
      <c r="J24" s="227"/>
      <c r="K24" s="227"/>
    </row>
    <row r="25" ht="15.75" customHeight="1">
      <c r="A25" s="230"/>
      <c r="B25" s="264"/>
      <c r="C25" s="111"/>
      <c r="D25" s="22"/>
      <c r="E25" s="22"/>
      <c r="F25" s="227"/>
      <c r="G25" s="227"/>
      <c r="H25" s="227"/>
      <c r="I25" s="227"/>
      <c r="J25" s="227"/>
      <c r="K25" s="227"/>
    </row>
    <row r="26" ht="15.75" customHeight="1">
      <c r="A26" s="230"/>
      <c r="B26" s="22"/>
      <c r="C26" s="111"/>
      <c r="D26" s="22"/>
      <c r="E26" s="22"/>
      <c r="F26" s="227"/>
      <c r="G26" s="227"/>
      <c r="H26" s="227"/>
      <c r="I26" s="227"/>
      <c r="J26" s="227"/>
      <c r="K26" s="227"/>
    </row>
    <row r="27" ht="15.75" customHeight="1">
      <c r="A27" s="230"/>
      <c r="B27" s="230"/>
      <c r="C27" s="230"/>
      <c r="D27" s="132"/>
      <c r="E27" s="227"/>
      <c r="F27" s="227"/>
      <c r="G27" s="227"/>
      <c r="H27" s="227"/>
      <c r="I27" s="227"/>
      <c r="J27" s="227"/>
      <c r="K27" s="227"/>
    </row>
    <row r="28" ht="15.75" customHeight="1">
      <c r="A28" s="230"/>
      <c r="B28" s="132"/>
      <c r="C28" s="132"/>
      <c r="D28" s="132"/>
      <c r="E28" s="227"/>
      <c r="F28" s="227"/>
      <c r="G28" s="227"/>
      <c r="H28" s="227"/>
      <c r="I28" s="227"/>
      <c r="J28" s="227"/>
      <c r="K28" s="227"/>
    </row>
    <row r="29" ht="15.75" customHeight="1">
      <c r="A29" s="230"/>
      <c r="B29" s="132"/>
      <c r="C29" s="132"/>
      <c r="D29" s="132"/>
      <c r="E29" s="227"/>
      <c r="F29" s="227"/>
      <c r="G29" s="227"/>
      <c r="H29" s="227"/>
      <c r="I29" s="227"/>
      <c r="J29" s="227"/>
      <c r="K29" s="227"/>
    </row>
    <row r="30" ht="15.75" customHeight="1">
      <c r="A30" s="230"/>
      <c r="B30" s="248" t="s">
        <v>394</v>
      </c>
      <c r="C30" s="238"/>
      <c r="D30" s="247"/>
      <c r="E30" s="227"/>
      <c r="F30" s="227"/>
      <c r="G30" s="227"/>
      <c r="H30" s="227"/>
      <c r="I30" s="227"/>
      <c r="J30" s="227"/>
      <c r="K30" s="227"/>
    </row>
    <row r="31" ht="15.75" customHeight="1">
      <c r="A31" s="132"/>
      <c r="B31" s="249" t="s">
        <v>395</v>
      </c>
      <c r="C31" s="250" t="s">
        <v>396</v>
      </c>
      <c r="D31" s="132"/>
      <c r="E31" s="227"/>
      <c r="F31" s="227"/>
      <c r="G31" s="227"/>
      <c r="H31" s="227"/>
      <c r="I31" s="227"/>
      <c r="J31" s="227"/>
      <c r="K31" s="227"/>
    </row>
    <row r="32" ht="15.75" customHeight="1">
      <c r="A32" s="132"/>
      <c r="B32" s="251" t="s">
        <v>397</v>
      </c>
      <c r="C32" s="252" t="s">
        <v>398</v>
      </c>
      <c r="D32" s="132"/>
      <c r="E32" s="227"/>
      <c r="F32" s="227"/>
      <c r="G32" s="227"/>
      <c r="H32" s="227"/>
      <c r="I32" s="227"/>
      <c r="J32" s="227"/>
      <c r="K32" s="227"/>
    </row>
    <row r="33" ht="15.75" customHeight="1">
      <c r="A33" s="132"/>
      <c r="B33" s="132"/>
      <c r="C33" s="132"/>
      <c r="D33" s="132"/>
      <c r="E33" s="227"/>
      <c r="F33" s="227"/>
      <c r="G33" s="227"/>
      <c r="H33" s="227"/>
      <c r="I33" s="227"/>
      <c r="J33" s="227"/>
      <c r="K33" s="227"/>
    </row>
    <row r="34" ht="15.75" customHeight="1">
      <c r="A34" s="132"/>
      <c r="B34" s="132"/>
      <c r="C34" s="132"/>
      <c r="D34" s="132"/>
      <c r="E34" s="227"/>
      <c r="F34" s="227"/>
      <c r="G34" s="227"/>
      <c r="H34" s="227"/>
      <c r="I34" s="227"/>
      <c r="J34" s="227"/>
      <c r="K34" s="227"/>
    </row>
    <row r="35" ht="15.75" customHeight="1">
      <c r="A35" s="132"/>
      <c r="B35" s="132"/>
      <c r="C35" s="132"/>
      <c r="D35" s="132"/>
      <c r="E35" s="227"/>
      <c r="F35" s="227"/>
      <c r="G35" s="227"/>
      <c r="H35" s="227"/>
      <c r="I35" s="227"/>
      <c r="J35" s="227"/>
      <c r="K35" s="227"/>
    </row>
    <row r="36" ht="15.75" customHeight="1">
      <c r="A36" s="230"/>
      <c r="B36" s="132"/>
      <c r="C36" s="132"/>
      <c r="D36" s="132"/>
      <c r="E36" s="227"/>
      <c r="F36" s="227"/>
      <c r="G36" s="227"/>
      <c r="H36" s="227"/>
      <c r="I36" s="227"/>
      <c r="J36" s="227"/>
      <c r="K36" s="227"/>
    </row>
    <row r="37" ht="15.75" customHeight="1">
      <c r="A37" s="132"/>
      <c r="B37" s="132"/>
      <c r="C37" s="132"/>
      <c r="D37" s="132"/>
      <c r="E37" s="227"/>
      <c r="F37" s="227"/>
      <c r="G37" s="227"/>
      <c r="H37" s="227"/>
      <c r="I37" s="227"/>
      <c r="J37" s="227"/>
      <c r="K37" s="227"/>
    </row>
    <row r="38" ht="15.75" customHeight="1">
      <c r="A38" s="132"/>
      <c r="B38" s="132"/>
      <c r="C38" s="132"/>
      <c r="D38" s="132"/>
      <c r="E38" s="227"/>
      <c r="F38" s="227"/>
      <c r="G38" s="227"/>
      <c r="H38" s="227"/>
      <c r="I38" s="227"/>
      <c r="J38" s="227"/>
      <c r="K38" s="227"/>
    </row>
    <row r="39" ht="15.75" customHeight="1">
      <c r="A39" s="132"/>
      <c r="B39" s="132"/>
      <c r="C39" s="132"/>
      <c r="D39" s="132"/>
      <c r="E39" s="227"/>
      <c r="F39" s="227"/>
      <c r="G39" s="227"/>
      <c r="H39" s="227"/>
      <c r="I39" s="227"/>
      <c r="J39" s="227"/>
      <c r="K39" s="227"/>
    </row>
    <row r="40" ht="15.75" customHeight="1">
      <c r="A40" s="132"/>
      <c r="B40" s="132"/>
      <c r="C40" s="132"/>
      <c r="D40" s="132"/>
      <c r="E40" s="227"/>
      <c r="F40" s="227"/>
      <c r="G40" s="227"/>
      <c r="H40" s="227"/>
      <c r="I40" s="227"/>
      <c r="J40" s="227"/>
      <c r="K40" s="227"/>
    </row>
    <row r="41" ht="15.75" customHeight="1">
      <c r="A41" s="132"/>
      <c r="B41" s="132"/>
      <c r="C41" s="132"/>
      <c r="D41" s="132"/>
      <c r="E41" s="227"/>
      <c r="F41" s="227"/>
      <c r="G41" s="227"/>
      <c r="H41" s="227"/>
      <c r="I41" s="227"/>
      <c r="J41" s="227"/>
      <c r="K41" s="227"/>
    </row>
    <row r="42" ht="15.75" customHeight="1">
      <c r="A42" s="132"/>
      <c r="B42" s="132"/>
      <c r="C42" s="132"/>
      <c r="D42" s="132"/>
      <c r="E42" s="227"/>
      <c r="F42" s="227"/>
      <c r="G42" s="227"/>
      <c r="H42" s="227"/>
      <c r="I42" s="227"/>
      <c r="J42" s="227"/>
      <c r="K42" s="227"/>
    </row>
    <row r="43" ht="15.75" customHeight="1">
      <c r="A43" s="132"/>
      <c r="B43" s="132"/>
      <c r="C43" s="132"/>
      <c r="D43" s="132"/>
      <c r="E43" s="227"/>
      <c r="F43" s="227"/>
      <c r="G43" s="227"/>
      <c r="H43" s="227"/>
      <c r="I43" s="227"/>
      <c r="J43" s="227"/>
      <c r="K43" s="227"/>
    </row>
    <row r="44" ht="15.75" customHeight="1">
      <c r="A44" s="132"/>
      <c r="B44" s="132"/>
      <c r="C44" s="132"/>
      <c r="D44" s="132"/>
      <c r="E44" s="227"/>
      <c r="F44" s="227"/>
      <c r="G44" s="227"/>
      <c r="H44" s="227"/>
      <c r="I44" s="227"/>
      <c r="J44" s="227"/>
      <c r="K44" s="227"/>
    </row>
    <row r="45" ht="15.75" customHeight="1">
      <c r="A45" s="132"/>
      <c r="B45" s="132"/>
      <c r="C45" s="132"/>
      <c r="D45" s="132"/>
      <c r="E45" s="227"/>
      <c r="F45" s="227"/>
      <c r="G45" s="227"/>
      <c r="H45" s="227"/>
      <c r="I45" s="227"/>
      <c r="J45" s="227"/>
      <c r="K45" s="227"/>
    </row>
    <row r="46" ht="15.75" customHeight="1">
      <c r="A46" s="132"/>
      <c r="B46" s="132"/>
      <c r="C46" s="132"/>
      <c r="D46" s="132"/>
      <c r="E46" s="227"/>
      <c r="F46" s="227"/>
      <c r="G46" s="227"/>
      <c r="H46" s="227"/>
      <c r="I46" s="227"/>
      <c r="J46" s="227"/>
      <c r="K46" s="227"/>
    </row>
    <row r="47" ht="15.75" customHeight="1">
      <c r="A47" s="132"/>
      <c r="B47" s="132"/>
      <c r="C47" s="132"/>
      <c r="D47" s="132"/>
      <c r="E47" s="227"/>
      <c r="F47" s="227"/>
      <c r="G47" s="227"/>
      <c r="H47" s="227"/>
      <c r="I47" s="227"/>
      <c r="J47" s="227"/>
      <c r="K47" s="227"/>
    </row>
    <row r="48" ht="15.75" customHeight="1">
      <c r="A48" s="132"/>
      <c r="B48" s="132"/>
      <c r="C48" s="132"/>
      <c r="D48" s="132"/>
      <c r="E48" s="227"/>
      <c r="F48" s="227"/>
      <c r="G48" s="227"/>
      <c r="H48" s="227"/>
      <c r="I48" s="227"/>
      <c r="J48" s="227"/>
      <c r="K48" s="227"/>
    </row>
    <row r="49" ht="15.75" customHeight="1">
      <c r="A49" s="132"/>
      <c r="B49" s="132"/>
      <c r="C49" s="132"/>
      <c r="D49" s="132"/>
      <c r="E49" s="227"/>
      <c r="F49" s="227"/>
      <c r="G49" s="227"/>
      <c r="H49" s="227"/>
      <c r="I49" s="227"/>
      <c r="J49" s="227"/>
      <c r="K49" s="227"/>
    </row>
    <row r="50" ht="15.75" customHeight="1">
      <c r="A50" s="132"/>
      <c r="B50" s="132"/>
      <c r="C50" s="132"/>
      <c r="D50" s="132"/>
      <c r="E50" s="227"/>
      <c r="F50" s="227"/>
      <c r="G50" s="227"/>
      <c r="H50" s="227"/>
      <c r="I50" s="227"/>
      <c r="J50" s="227"/>
      <c r="K50" s="22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3"/>
    <mergeCell ref="B8:C8"/>
    <mergeCell ref="D8:E8"/>
    <mergeCell ref="E15:F15"/>
    <mergeCell ref="B18:E18"/>
    <mergeCell ref="B19:C19"/>
    <mergeCell ref="D19:E19"/>
    <mergeCell ref="B30:C3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4.5"/>
    <col customWidth="1" min="3" max="3" width="30.5"/>
    <col customWidth="1" min="4" max="4" width="9.63"/>
    <col customWidth="1" min="5" max="5" width="26.75"/>
    <col customWidth="1" min="6" max="6" width="12.63"/>
  </cols>
  <sheetData>
    <row r="1" ht="15.75" customHeight="1">
      <c r="A1" s="226" t="s">
        <v>406</v>
      </c>
      <c r="B1" s="187"/>
      <c r="C1" s="187"/>
      <c r="D1" s="187"/>
      <c r="E1" s="187"/>
      <c r="F1" s="188"/>
      <c r="G1" s="227"/>
      <c r="H1" s="227"/>
      <c r="I1" s="227"/>
      <c r="J1" s="227"/>
      <c r="K1" s="227"/>
    </row>
    <row r="2" ht="15.75" customHeight="1">
      <c r="A2" s="228"/>
      <c r="F2" s="193"/>
      <c r="G2" s="227"/>
      <c r="H2" s="227"/>
      <c r="I2" s="227"/>
      <c r="J2" s="227"/>
      <c r="K2" s="227"/>
    </row>
    <row r="3" ht="15.75" customHeight="1">
      <c r="A3" s="229"/>
      <c r="B3" s="195"/>
      <c r="C3" s="195"/>
      <c r="D3" s="195"/>
      <c r="E3" s="195"/>
      <c r="F3" s="196"/>
      <c r="G3" s="227"/>
      <c r="H3" s="227"/>
      <c r="I3" s="227"/>
      <c r="J3" s="227"/>
      <c r="K3" s="227"/>
    </row>
    <row r="4" ht="15.75" customHeight="1">
      <c r="A4" s="227"/>
      <c r="B4" s="227"/>
      <c r="C4" s="227"/>
      <c r="D4" s="268" t="s">
        <v>407</v>
      </c>
      <c r="E4" s="188"/>
      <c r="F4" s="230"/>
      <c r="G4" s="227"/>
      <c r="H4" s="227"/>
      <c r="I4" s="227"/>
      <c r="J4" s="227"/>
      <c r="K4" s="227"/>
    </row>
    <row r="5" ht="15.75" customHeight="1">
      <c r="A5" s="231"/>
      <c r="B5" s="232"/>
      <c r="C5" s="227"/>
      <c r="D5" s="229"/>
      <c r="E5" s="196"/>
      <c r="F5" s="227"/>
      <c r="G5" s="227"/>
      <c r="H5" s="227"/>
      <c r="I5" s="227"/>
      <c r="J5" s="227"/>
      <c r="K5" s="227"/>
    </row>
    <row r="6" ht="15.75" customHeight="1">
      <c r="A6" s="233" t="s">
        <v>388</v>
      </c>
      <c r="B6" s="234">
        <v>45917.0</v>
      </c>
      <c r="C6" s="132"/>
      <c r="D6" s="227"/>
      <c r="E6" s="230"/>
      <c r="F6" s="230"/>
      <c r="G6" s="227"/>
      <c r="H6" s="227"/>
      <c r="I6" s="227"/>
      <c r="J6" s="227"/>
      <c r="K6" s="227"/>
    </row>
    <row r="7" ht="15.75" customHeight="1">
      <c r="A7" s="141"/>
      <c r="B7" s="141"/>
      <c r="C7" s="132"/>
      <c r="D7" s="227"/>
      <c r="E7" s="230"/>
      <c r="F7" s="230"/>
      <c r="G7" s="227"/>
      <c r="H7" s="227"/>
      <c r="I7" s="227"/>
      <c r="J7" s="227"/>
      <c r="K7" s="227"/>
    </row>
    <row r="8" ht="15.75" customHeight="1">
      <c r="A8" s="235" t="s">
        <v>389</v>
      </c>
      <c r="B8" s="230"/>
      <c r="C8" s="227"/>
      <c r="D8" s="227"/>
      <c r="E8" s="227"/>
      <c r="F8" s="227"/>
      <c r="G8" s="227"/>
      <c r="H8" s="227"/>
      <c r="I8" s="227"/>
      <c r="J8" s="227"/>
      <c r="K8" s="227"/>
    </row>
    <row r="9" ht="15.75" customHeight="1">
      <c r="A9" s="132"/>
      <c r="B9" s="230"/>
      <c r="C9" s="227"/>
      <c r="D9" s="227"/>
      <c r="E9" s="227"/>
      <c r="F9" s="227"/>
      <c r="G9" s="227"/>
      <c r="H9" s="227"/>
      <c r="I9" s="227"/>
      <c r="J9" s="227"/>
      <c r="K9" s="227"/>
    </row>
    <row r="10" ht="15.75" customHeight="1">
      <c r="A10" s="132"/>
      <c r="B10" s="227"/>
      <c r="C10" s="227"/>
      <c r="D10" s="227"/>
      <c r="E10" s="227"/>
      <c r="F10" s="227"/>
      <c r="G10" s="227"/>
      <c r="H10" s="227"/>
      <c r="I10" s="227"/>
      <c r="J10" s="227"/>
      <c r="K10" s="227"/>
    </row>
    <row r="11" ht="15.75" customHeight="1">
      <c r="A11" s="132"/>
      <c r="B11" s="230"/>
      <c r="C11" s="227"/>
      <c r="D11" s="227"/>
      <c r="E11" s="227"/>
      <c r="F11" s="227"/>
      <c r="G11" s="227"/>
      <c r="H11" s="227"/>
      <c r="I11" s="227"/>
      <c r="J11" s="227"/>
      <c r="K11" s="227"/>
    </row>
    <row r="12" ht="15.75" customHeight="1">
      <c r="A12" s="180" t="s">
        <v>74</v>
      </c>
      <c r="B12" s="181"/>
      <c r="C12" s="182" t="s">
        <v>14</v>
      </c>
      <c r="D12" s="181"/>
      <c r="E12" s="227"/>
      <c r="F12" s="227"/>
      <c r="G12" s="227"/>
      <c r="H12" s="227"/>
      <c r="I12" s="227"/>
      <c r="J12" s="227"/>
      <c r="K12" s="227"/>
    </row>
    <row r="13" ht="15.75" customHeight="1">
      <c r="A13" s="269" t="s">
        <v>370</v>
      </c>
      <c r="B13" s="270">
        <v>-0.7999999999999972</v>
      </c>
      <c r="C13" s="218" t="s">
        <v>371</v>
      </c>
      <c r="D13" s="83">
        <v>0.0</v>
      </c>
      <c r="E13" s="227"/>
      <c r="F13" s="227"/>
      <c r="G13" s="227"/>
      <c r="H13" s="227"/>
      <c r="I13" s="227"/>
      <c r="J13" s="227"/>
      <c r="K13" s="227"/>
    </row>
    <row r="14" ht="15.75" customHeight="1">
      <c r="A14" s="219" t="s">
        <v>372</v>
      </c>
      <c r="B14" s="83">
        <v>-0.19999999999998863</v>
      </c>
      <c r="C14" s="220" t="s">
        <v>373</v>
      </c>
      <c r="D14" s="83">
        <v>-0.8</v>
      </c>
      <c r="E14" s="227"/>
      <c r="F14" s="227"/>
      <c r="G14" s="227"/>
      <c r="H14" s="227"/>
      <c r="I14" s="227"/>
      <c r="J14" s="227"/>
      <c r="K14" s="227"/>
    </row>
    <row r="15" ht="15.75" customHeight="1">
      <c r="A15" s="218" t="s">
        <v>374</v>
      </c>
      <c r="B15" s="271">
        <v>0.7999999999999972</v>
      </c>
      <c r="C15" s="227"/>
      <c r="D15" s="227"/>
      <c r="E15" s="227"/>
      <c r="F15" s="227"/>
      <c r="G15" s="247"/>
      <c r="H15" s="227"/>
      <c r="I15" s="227"/>
      <c r="J15" s="227"/>
      <c r="K15" s="227"/>
    </row>
    <row r="16" ht="15.75" customHeight="1">
      <c r="A16" s="222" t="s">
        <v>375</v>
      </c>
      <c r="B16" s="83">
        <v>0.0</v>
      </c>
      <c r="C16" s="227"/>
      <c r="D16" s="227"/>
      <c r="E16" s="227"/>
      <c r="F16" s="227"/>
      <c r="G16" s="227"/>
      <c r="H16" s="227"/>
      <c r="I16" s="227"/>
      <c r="J16" s="227"/>
      <c r="K16" s="227"/>
    </row>
    <row r="17" ht="15.75" customHeight="1">
      <c r="A17" s="223" t="s">
        <v>376</v>
      </c>
      <c r="B17" s="270">
        <v>-1.4000000000000057</v>
      </c>
      <c r="C17" s="227"/>
      <c r="D17" s="227"/>
      <c r="E17" s="227"/>
      <c r="F17" s="227"/>
      <c r="G17" s="227"/>
      <c r="H17" s="227"/>
      <c r="I17" s="227"/>
      <c r="J17" s="227"/>
      <c r="K17" s="227"/>
    </row>
    <row r="18" ht="15.75" customHeight="1">
      <c r="A18" s="132"/>
      <c r="B18" s="132"/>
      <c r="C18" s="227"/>
      <c r="D18" s="227"/>
      <c r="E18" s="227"/>
      <c r="F18" s="227"/>
      <c r="G18" s="227"/>
      <c r="H18" s="227"/>
      <c r="I18" s="227"/>
      <c r="J18" s="227"/>
      <c r="K18" s="227"/>
    </row>
    <row r="19" ht="15.75" customHeight="1">
      <c r="A19" s="132"/>
      <c r="B19" s="227"/>
      <c r="C19" s="227"/>
      <c r="D19" s="227"/>
      <c r="E19" s="227"/>
      <c r="F19" s="227"/>
      <c r="G19" s="227"/>
      <c r="H19" s="227"/>
      <c r="I19" s="227"/>
      <c r="J19" s="227"/>
      <c r="K19" s="227"/>
    </row>
    <row r="20" ht="15.75" customHeight="1">
      <c r="A20" s="132"/>
      <c r="B20" s="248" t="s">
        <v>394</v>
      </c>
      <c r="C20" s="238"/>
      <c r="D20" s="247"/>
      <c r="E20" s="227"/>
      <c r="F20" s="227"/>
      <c r="G20" s="227"/>
      <c r="H20" s="227"/>
      <c r="I20" s="227"/>
      <c r="J20" s="227"/>
      <c r="K20" s="227"/>
    </row>
    <row r="21" ht="15.75" customHeight="1">
      <c r="A21" s="230"/>
      <c r="B21" s="249" t="s">
        <v>395</v>
      </c>
      <c r="C21" s="250" t="s">
        <v>396</v>
      </c>
      <c r="D21" s="132"/>
      <c r="E21" s="227"/>
      <c r="F21" s="227"/>
      <c r="G21" s="227"/>
      <c r="H21" s="227"/>
      <c r="I21" s="227"/>
      <c r="J21" s="227"/>
      <c r="K21" s="227"/>
    </row>
    <row r="22" ht="15.75" customHeight="1">
      <c r="A22" s="132"/>
      <c r="B22" s="251" t="s">
        <v>397</v>
      </c>
      <c r="C22" s="252" t="s">
        <v>398</v>
      </c>
      <c r="D22" s="132"/>
      <c r="E22" s="227"/>
      <c r="F22" s="227"/>
      <c r="G22" s="227"/>
      <c r="H22" s="227"/>
      <c r="I22" s="227"/>
      <c r="J22" s="227"/>
      <c r="K22" s="227"/>
    </row>
    <row r="23" ht="15.75" customHeight="1">
      <c r="A23" s="132"/>
      <c r="B23" s="132"/>
      <c r="C23" s="132"/>
      <c r="D23" s="132"/>
      <c r="E23" s="227"/>
      <c r="F23" s="227"/>
      <c r="G23" s="227"/>
      <c r="H23" s="227"/>
      <c r="I23" s="227"/>
      <c r="J23" s="227"/>
      <c r="K23" s="227"/>
    </row>
    <row r="24" ht="15.75" customHeight="1">
      <c r="A24" s="132"/>
      <c r="B24" s="132"/>
      <c r="C24" s="132"/>
      <c r="D24" s="132"/>
      <c r="E24" s="227"/>
      <c r="F24" s="227"/>
      <c r="G24" s="227"/>
      <c r="H24" s="227"/>
      <c r="I24" s="227"/>
      <c r="J24" s="227"/>
      <c r="K24" s="227"/>
    </row>
    <row r="25" ht="15.75" customHeight="1">
      <c r="A25" s="132"/>
      <c r="B25" s="132"/>
      <c r="C25" s="132"/>
      <c r="D25" s="132"/>
      <c r="E25" s="227"/>
      <c r="F25" s="227"/>
      <c r="G25" s="227"/>
      <c r="H25" s="227"/>
      <c r="I25" s="227"/>
      <c r="J25" s="227"/>
      <c r="K25" s="227"/>
    </row>
    <row r="26" ht="15.75" customHeight="1">
      <c r="A26" s="230"/>
      <c r="B26" s="132"/>
      <c r="C26" s="132"/>
      <c r="D26" s="132"/>
      <c r="E26" s="227"/>
      <c r="F26" s="227"/>
      <c r="G26" s="227"/>
      <c r="H26" s="227"/>
      <c r="I26" s="227"/>
      <c r="J26" s="227"/>
      <c r="K26" s="227"/>
    </row>
    <row r="27" ht="15.75" customHeight="1">
      <c r="A27" s="132"/>
      <c r="B27" s="132"/>
      <c r="C27" s="132"/>
      <c r="D27" s="132"/>
      <c r="E27" s="227"/>
      <c r="F27" s="227"/>
      <c r="G27" s="227"/>
      <c r="H27" s="227"/>
      <c r="I27" s="227"/>
      <c r="J27" s="227"/>
      <c r="K27" s="227"/>
    </row>
    <row r="28" ht="15.75" customHeight="1">
      <c r="A28" s="132"/>
      <c r="B28" s="132"/>
      <c r="C28" s="132"/>
      <c r="D28" s="132"/>
      <c r="E28" s="227"/>
      <c r="F28" s="227"/>
      <c r="G28" s="227"/>
      <c r="H28" s="227"/>
      <c r="I28" s="227"/>
      <c r="J28" s="227"/>
      <c r="K28" s="227"/>
    </row>
    <row r="29" ht="15.75" customHeight="1">
      <c r="A29" s="132"/>
      <c r="B29" s="132"/>
      <c r="C29" s="132"/>
      <c r="D29" s="132"/>
      <c r="E29" s="227"/>
      <c r="F29" s="227"/>
      <c r="G29" s="227"/>
      <c r="H29" s="227"/>
      <c r="I29" s="227"/>
      <c r="J29" s="227"/>
      <c r="K29" s="227"/>
    </row>
    <row r="30" ht="15.75" customHeight="1">
      <c r="A30" s="132"/>
      <c r="B30" s="132"/>
      <c r="C30" s="132"/>
      <c r="D30" s="132"/>
      <c r="E30" s="227"/>
      <c r="F30" s="227"/>
      <c r="G30" s="227"/>
      <c r="H30" s="227"/>
      <c r="I30" s="227"/>
      <c r="J30" s="227"/>
      <c r="K30" s="227"/>
    </row>
    <row r="31" ht="15.75" customHeight="1">
      <c r="A31" s="132"/>
      <c r="B31" s="132"/>
      <c r="C31" s="132"/>
      <c r="D31" s="132"/>
      <c r="E31" s="227"/>
      <c r="F31" s="227"/>
      <c r="G31" s="227"/>
      <c r="H31" s="227"/>
      <c r="I31" s="227"/>
      <c r="J31" s="227"/>
      <c r="K31" s="227"/>
    </row>
    <row r="32" ht="15.75" customHeight="1">
      <c r="A32" s="132"/>
      <c r="B32" s="132"/>
      <c r="C32" s="132"/>
      <c r="D32" s="132"/>
      <c r="E32" s="227"/>
      <c r="F32" s="227"/>
      <c r="G32" s="227"/>
      <c r="H32" s="227"/>
      <c r="I32" s="227"/>
      <c r="J32" s="227"/>
      <c r="K32" s="227"/>
    </row>
    <row r="33" ht="15.75" customHeight="1">
      <c r="A33" s="132"/>
      <c r="B33" s="132"/>
      <c r="C33" s="132"/>
      <c r="D33" s="132"/>
      <c r="E33" s="227"/>
      <c r="F33" s="227"/>
      <c r="G33" s="227"/>
      <c r="H33" s="227"/>
      <c r="I33" s="227"/>
      <c r="J33" s="227"/>
      <c r="K33" s="227"/>
    </row>
    <row r="34" ht="15.75" customHeight="1">
      <c r="A34" s="132"/>
      <c r="B34" s="132"/>
      <c r="C34" s="132"/>
      <c r="D34" s="132"/>
      <c r="E34" s="227"/>
      <c r="F34" s="227"/>
      <c r="G34" s="227"/>
      <c r="H34" s="227"/>
      <c r="I34" s="227"/>
      <c r="J34" s="227"/>
      <c r="K34" s="227"/>
    </row>
    <row r="35" ht="15.75" customHeight="1">
      <c r="A35" s="132"/>
      <c r="B35" s="132"/>
      <c r="C35" s="132"/>
      <c r="D35" s="132"/>
      <c r="E35" s="227"/>
      <c r="F35" s="227"/>
      <c r="G35" s="227"/>
      <c r="H35" s="227"/>
      <c r="I35" s="227"/>
      <c r="J35" s="227"/>
      <c r="K35" s="227"/>
    </row>
    <row r="36" ht="15.75" customHeight="1">
      <c r="A36" s="132"/>
      <c r="B36" s="132"/>
      <c r="C36" s="132"/>
      <c r="D36" s="132"/>
      <c r="E36" s="227"/>
      <c r="F36" s="227"/>
      <c r="G36" s="227"/>
      <c r="H36" s="227"/>
      <c r="I36" s="227"/>
      <c r="J36" s="227"/>
      <c r="K36" s="227"/>
    </row>
    <row r="37" ht="15.75" customHeight="1">
      <c r="A37" s="132"/>
      <c r="B37" s="132"/>
      <c r="C37" s="132"/>
      <c r="D37" s="132"/>
      <c r="E37" s="227"/>
      <c r="F37" s="227"/>
      <c r="G37" s="227"/>
      <c r="H37" s="227"/>
      <c r="I37" s="227"/>
      <c r="J37" s="227"/>
      <c r="K37" s="227"/>
    </row>
    <row r="38" ht="15.75" customHeight="1">
      <c r="A38" s="132"/>
      <c r="B38" s="132"/>
      <c r="C38" s="132"/>
      <c r="D38" s="132"/>
      <c r="E38" s="227"/>
      <c r="F38" s="227"/>
      <c r="G38" s="227"/>
      <c r="H38" s="227"/>
      <c r="I38" s="227"/>
      <c r="J38" s="227"/>
      <c r="K38" s="227"/>
    </row>
    <row r="39" ht="15.75" customHeight="1">
      <c r="A39" s="132"/>
      <c r="B39" s="132"/>
      <c r="C39" s="132"/>
      <c r="D39" s="132"/>
      <c r="E39" s="227"/>
      <c r="F39" s="227"/>
      <c r="G39" s="227"/>
      <c r="H39" s="227"/>
      <c r="I39" s="227"/>
      <c r="J39" s="227"/>
      <c r="K39" s="227"/>
    </row>
    <row r="40" ht="15.75" customHeight="1">
      <c r="A40" s="132"/>
      <c r="B40" s="132"/>
      <c r="C40" s="132"/>
      <c r="D40" s="132"/>
      <c r="E40" s="227"/>
      <c r="F40" s="227"/>
      <c r="G40" s="227"/>
      <c r="H40" s="227"/>
      <c r="I40" s="227"/>
      <c r="J40" s="227"/>
      <c r="K40" s="22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3"/>
    <mergeCell ref="D4:E5"/>
    <mergeCell ref="A12:B12"/>
    <mergeCell ref="C12:D12"/>
    <mergeCell ref="B20:C2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4.5"/>
    <col customWidth="1" min="3" max="3" width="30.5"/>
    <col customWidth="1" min="4" max="4" width="9.63"/>
    <col customWidth="1" min="5" max="5" width="26.75"/>
    <col customWidth="1" min="6" max="6" width="12.63"/>
  </cols>
  <sheetData>
    <row r="1" ht="15.75" customHeight="1">
      <c r="A1" s="226" t="s">
        <v>408</v>
      </c>
      <c r="B1" s="187"/>
      <c r="C1" s="187"/>
      <c r="D1" s="187"/>
      <c r="E1" s="187"/>
      <c r="F1" s="188"/>
      <c r="G1" s="227"/>
      <c r="H1" s="227"/>
      <c r="I1" s="227"/>
      <c r="J1" s="227"/>
      <c r="K1" s="227"/>
    </row>
    <row r="2" ht="15.75" customHeight="1">
      <c r="A2" s="228"/>
      <c r="F2" s="193"/>
      <c r="G2" s="227"/>
      <c r="H2" s="227"/>
      <c r="I2" s="227"/>
      <c r="J2" s="227"/>
      <c r="K2" s="227"/>
    </row>
    <row r="3" ht="15.75" customHeight="1">
      <c r="A3" s="229"/>
      <c r="B3" s="195"/>
      <c r="C3" s="195"/>
      <c r="D3" s="195"/>
      <c r="E3" s="195"/>
      <c r="F3" s="196"/>
      <c r="G3" s="227"/>
      <c r="H3" s="227"/>
      <c r="I3" s="227"/>
      <c r="J3" s="227"/>
      <c r="K3" s="227"/>
    </row>
    <row r="4" ht="15.75" customHeight="1">
      <c r="A4" s="227"/>
      <c r="B4" s="227"/>
      <c r="C4" s="227"/>
      <c r="D4" s="268" t="s">
        <v>409</v>
      </c>
      <c r="E4" s="188"/>
      <c r="F4" s="230"/>
      <c r="G4" s="227"/>
      <c r="H4" s="227"/>
      <c r="I4" s="227"/>
      <c r="J4" s="227"/>
      <c r="K4" s="227"/>
    </row>
    <row r="5" ht="15.75" customHeight="1">
      <c r="A5" s="231"/>
      <c r="B5" s="232"/>
      <c r="C5" s="227"/>
      <c r="D5" s="229"/>
      <c r="E5" s="196"/>
      <c r="F5" s="227"/>
      <c r="G5" s="227"/>
      <c r="H5" s="227"/>
      <c r="I5" s="227"/>
      <c r="J5" s="227"/>
      <c r="K5" s="227"/>
    </row>
    <row r="6" ht="15.75" customHeight="1">
      <c r="A6" s="233" t="s">
        <v>388</v>
      </c>
      <c r="B6" s="234">
        <v>45917.0</v>
      </c>
      <c r="C6" s="132"/>
      <c r="D6" s="227"/>
      <c r="E6" s="230"/>
      <c r="F6" s="230"/>
      <c r="G6" s="227"/>
      <c r="H6" s="227"/>
      <c r="I6" s="227"/>
      <c r="J6" s="227"/>
      <c r="K6" s="227"/>
    </row>
    <row r="7" ht="15.75" customHeight="1">
      <c r="A7" s="141"/>
      <c r="B7" s="141"/>
      <c r="C7" s="132"/>
      <c r="D7" s="227"/>
      <c r="E7" s="230"/>
      <c r="F7" s="230"/>
      <c r="G7" s="227"/>
      <c r="H7" s="227"/>
      <c r="I7" s="227"/>
      <c r="J7" s="227"/>
      <c r="K7" s="227"/>
    </row>
    <row r="8" ht="15.75" customHeight="1">
      <c r="A8" s="235" t="s">
        <v>389</v>
      </c>
      <c r="B8" s="230"/>
      <c r="C8" s="227"/>
      <c r="D8" s="227"/>
      <c r="E8" s="227"/>
      <c r="F8" s="227"/>
      <c r="G8" s="227"/>
      <c r="H8" s="227"/>
      <c r="I8" s="227"/>
      <c r="J8" s="227"/>
      <c r="K8" s="227"/>
    </row>
    <row r="9" ht="15.75" customHeight="1">
      <c r="A9" s="132"/>
      <c r="B9" s="230"/>
      <c r="C9" s="227"/>
      <c r="D9" s="227"/>
      <c r="E9" s="227"/>
      <c r="F9" s="227"/>
      <c r="G9" s="227"/>
      <c r="H9" s="227"/>
      <c r="I9" s="227"/>
      <c r="J9" s="227"/>
      <c r="K9" s="227"/>
    </row>
    <row r="10" ht="15.75" customHeight="1">
      <c r="A10" s="132"/>
      <c r="B10" s="227"/>
      <c r="C10" s="227"/>
      <c r="D10" s="227"/>
      <c r="E10" s="227"/>
      <c r="F10" s="227"/>
      <c r="G10" s="227"/>
      <c r="H10" s="227"/>
      <c r="I10" s="227"/>
      <c r="J10" s="227"/>
      <c r="K10" s="227"/>
    </row>
    <row r="11" ht="15.75" customHeight="1">
      <c r="A11" s="132"/>
      <c r="B11" s="230"/>
      <c r="C11" s="227"/>
      <c r="D11" s="227"/>
      <c r="E11" s="227"/>
      <c r="F11" s="227"/>
      <c r="G11" s="227"/>
      <c r="H11" s="227"/>
      <c r="I11" s="227"/>
      <c r="J11" s="227"/>
      <c r="K11" s="227"/>
    </row>
    <row r="12" ht="15.75" customHeight="1">
      <c r="A12" s="180" t="s">
        <v>74</v>
      </c>
      <c r="B12" s="181"/>
      <c r="C12" s="182" t="s">
        <v>14</v>
      </c>
      <c r="D12" s="181"/>
      <c r="E12" s="183" t="s">
        <v>17</v>
      </c>
      <c r="F12" s="181"/>
      <c r="G12" s="227"/>
      <c r="H12" s="227"/>
      <c r="I12" s="227"/>
      <c r="J12" s="227"/>
      <c r="K12" s="227"/>
    </row>
    <row r="13" ht="15.75" customHeight="1">
      <c r="A13" s="218" t="s">
        <v>378</v>
      </c>
      <c r="B13" s="83">
        <v>0.10000000000000853</v>
      </c>
      <c r="C13" s="218" t="s">
        <v>379</v>
      </c>
      <c r="D13" s="83">
        <v>0.6000000000000085</v>
      </c>
      <c r="E13" s="218" t="s">
        <v>380</v>
      </c>
      <c r="F13" s="272">
        <v>-1.2000000000000028</v>
      </c>
      <c r="G13" s="227"/>
      <c r="H13" s="227"/>
      <c r="I13" s="227"/>
      <c r="J13" s="227"/>
      <c r="K13" s="227"/>
    </row>
    <row r="14" ht="15.75" customHeight="1">
      <c r="A14" s="224" t="s">
        <v>381</v>
      </c>
      <c r="B14" s="270">
        <v>-0.5999999999999943</v>
      </c>
      <c r="C14" s="224" t="s">
        <v>382</v>
      </c>
      <c r="D14" s="83">
        <v>0.0</v>
      </c>
      <c r="E14" s="227"/>
      <c r="F14" s="227"/>
      <c r="G14" s="227"/>
      <c r="H14" s="227"/>
      <c r="I14" s="227"/>
      <c r="J14" s="227"/>
      <c r="K14" s="227"/>
    </row>
    <row r="15" ht="15.75" customHeight="1">
      <c r="A15" s="230"/>
      <c r="B15" s="230"/>
      <c r="C15" s="218" t="s">
        <v>383</v>
      </c>
      <c r="D15" s="83">
        <v>-1.0</v>
      </c>
      <c r="E15" s="227"/>
      <c r="F15" s="227"/>
      <c r="G15" s="247"/>
      <c r="H15" s="227"/>
      <c r="I15" s="227"/>
      <c r="J15" s="227"/>
      <c r="K15" s="227"/>
    </row>
    <row r="16" ht="15.75" customHeight="1">
      <c r="A16" s="132"/>
      <c r="B16" s="132"/>
      <c r="C16" s="218" t="s">
        <v>384</v>
      </c>
      <c r="D16" s="83">
        <v>-0.20000000000000284</v>
      </c>
      <c r="E16" s="227"/>
      <c r="F16" s="227"/>
      <c r="G16" s="227"/>
      <c r="H16" s="227"/>
      <c r="I16" s="227"/>
      <c r="J16" s="227"/>
      <c r="K16" s="227"/>
    </row>
    <row r="17" ht="15.75" customHeight="1">
      <c r="A17" s="132"/>
      <c r="B17" s="132"/>
      <c r="C17" s="218" t="s">
        <v>385</v>
      </c>
      <c r="D17" s="83">
        <v>-0.3999999999999986</v>
      </c>
      <c r="E17" s="227"/>
      <c r="F17" s="227"/>
      <c r="G17" s="227"/>
      <c r="H17" s="227"/>
      <c r="I17" s="227"/>
      <c r="J17" s="227"/>
      <c r="K17" s="227"/>
    </row>
    <row r="18" ht="15.75" customHeight="1">
      <c r="A18" s="132"/>
      <c r="B18" s="132"/>
      <c r="C18" s="225" t="s">
        <v>386</v>
      </c>
      <c r="D18" s="83">
        <v>0.5999999999999943</v>
      </c>
      <c r="E18" s="227"/>
      <c r="F18" s="227"/>
      <c r="G18" s="227"/>
      <c r="H18" s="227"/>
      <c r="I18" s="227"/>
      <c r="J18" s="227"/>
      <c r="K18" s="227"/>
    </row>
    <row r="19" ht="15.75" customHeight="1">
      <c r="A19" s="132"/>
      <c r="B19" s="227"/>
      <c r="C19" s="227"/>
      <c r="D19" s="227"/>
      <c r="E19" s="227"/>
      <c r="F19" s="227"/>
      <c r="G19" s="227"/>
      <c r="H19" s="227"/>
      <c r="I19" s="227"/>
      <c r="J19" s="227"/>
      <c r="K19" s="227"/>
    </row>
    <row r="20" ht="15.75" customHeight="1">
      <c r="A20" s="132"/>
      <c r="B20" s="248" t="s">
        <v>394</v>
      </c>
      <c r="C20" s="238"/>
      <c r="D20" s="247"/>
      <c r="E20" s="227"/>
      <c r="F20" s="227"/>
      <c r="G20" s="227"/>
      <c r="H20" s="227"/>
      <c r="I20" s="227"/>
      <c r="J20" s="227"/>
      <c r="K20" s="227"/>
    </row>
    <row r="21" ht="15.75" customHeight="1">
      <c r="A21" s="230"/>
      <c r="B21" s="249" t="s">
        <v>395</v>
      </c>
      <c r="C21" s="250" t="s">
        <v>396</v>
      </c>
      <c r="D21" s="132"/>
      <c r="E21" s="227"/>
      <c r="F21" s="227"/>
      <c r="G21" s="227"/>
      <c r="H21" s="227"/>
      <c r="I21" s="227"/>
      <c r="J21" s="227"/>
      <c r="K21" s="227"/>
    </row>
    <row r="22" ht="15.75" customHeight="1">
      <c r="A22" s="132"/>
      <c r="B22" s="251" t="s">
        <v>397</v>
      </c>
      <c r="C22" s="252" t="s">
        <v>398</v>
      </c>
      <c r="D22" s="132"/>
      <c r="E22" s="227"/>
      <c r="F22" s="227"/>
      <c r="G22" s="227"/>
      <c r="H22" s="227"/>
      <c r="I22" s="227"/>
      <c r="J22" s="227"/>
      <c r="K22" s="227"/>
    </row>
    <row r="23" ht="15.75" customHeight="1">
      <c r="A23" s="132"/>
      <c r="B23" s="132"/>
      <c r="C23" s="132"/>
      <c r="D23" s="132"/>
      <c r="E23" s="227"/>
      <c r="F23" s="227"/>
      <c r="G23" s="227"/>
      <c r="H23" s="227"/>
      <c r="I23" s="227"/>
      <c r="J23" s="227"/>
      <c r="K23" s="227"/>
    </row>
    <row r="24" ht="15.75" customHeight="1">
      <c r="A24" s="132"/>
      <c r="B24" s="132"/>
      <c r="C24" s="132"/>
      <c r="D24" s="132"/>
      <c r="E24" s="227"/>
      <c r="F24" s="227"/>
      <c r="G24" s="227"/>
      <c r="H24" s="227"/>
      <c r="I24" s="227"/>
      <c r="J24" s="227"/>
      <c r="K24" s="227"/>
    </row>
    <row r="25" ht="15.75" customHeight="1">
      <c r="A25" s="132"/>
      <c r="B25" s="132"/>
      <c r="C25" s="132"/>
      <c r="D25" s="132"/>
      <c r="E25" s="227"/>
      <c r="F25" s="227"/>
      <c r="G25" s="227"/>
      <c r="H25" s="227"/>
      <c r="I25" s="227"/>
      <c r="J25" s="227"/>
      <c r="K25" s="227"/>
    </row>
    <row r="26" ht="15.75" customHeight="1">
      <c r="A26" s="230"/>
      <c r="B26" s="132"/>
      <c r="C26" s="132"/>
      <c r="D26" s="132"/>
      <c r="E26" s="227"/>
      <c r="F26" s="227"/>
      <c r="G26" s="227"/>
      <c r="H26" s="227"/>
      <c r="I26" s="227"/>
      <c r="J26" s="227"/>
      <c r="K26" s="227"/>
    </row>
    <row r="27" ht="15.75" customHeight="1">
      <c r="A27" s="132"/>
      <c r="B27" s="132"/>
      <c r="C27" s="132"/>
      <c r="D27" s="132"/>
      <c r="E27" s="227"/>
      <c r="F27" s="227"/>
      <c r="G27" s="227"/>
      <c r="H27" s="227"/>
      <c r="I27" s="227"/>
      <c r="J27" s="227"/>
      <c r="K27" s="227"/>
    </row>
    <row r="28" ht="15.75" customHeight="1">
      <c r="A28" s="132"/>
      <c r="B28" s="132"/>
      <c r="C28" s="132"/>
      <c r="D28" s="132"/>
      <c r="E28" s="227"/>
      <c r="F28" s="227"/>
      <c r="G28" s="227"/>
      <c r="H28" s="227"/>
      <c r="I28" s="227"/>
      <c r="J28" s="227"/>
      <c r="K28" s="227"/>
    </row>
    <row r="29" ht="15.75" customHeight="1">
      <c r="A29" s="132"/>
      <c r="B29" s="132"/>
      <c r="C29" s="132"/>
      <c r="D29" s="132"/>
      <c r="E29" s="227"/>
      <c r="F29" s="227"/>
      <c r="G29" s="227"/>
      <c r="H29" s="227"/>
      <c r="I29" s="227"/>
      <c r="J29" s="227"/>
      <c r="K29" s="227"/>
    </row>
    <row r="30" ht="15.75" customHeight="1">
      <c r="A30" s="132"/>
      <c r="B30" s="132"/>
      <c r="C30" s="132"/>
      <c r="D30" s="132"/>
      <c r="E30" s="227"/>
      <c r="F30" s="227"/>
      <c r="G30" s="227"/>
      <c r="H30" s="227"/>
      <c r="I30" s="227"/>
      <c r="J30" s="227"/>
      <c r="K30" s="227"/>
    </row>
    <row r="31" ht="15.75" customHeight="1">
      <c r="A31" s="132"/>
      <c r="B31" s="132"/>
      <c r="C31" s="132"/>
      <c r="D31" s="132"/>
      <c r="E31" s="227"/>
      <c r="F31" s="227"/>
      <c r="G31" s="227"/>
      <c r="H31" s="227"/>
      <c r="I31" s="227"/>
      <c r="J31" s="227"/>
      <c r="K31" s="227"/>
    </row>
    <row r="32" ht="15.75" customHeight="1">
      <c r="A32" s="132"/>
      <c r="B32" s="132"/>
      <c r="C32" s="132"/>
      <c r="D32" s="132"/>
      <c r="E32" s="227"/>
      <c r="F32" s="227"/>
      <c r="G32" s="227"/>
      <c r="H32" s="227"/>
      <c r="I32" s="227"/>
      <c r="J32" s="227"/>
      <c r="K32" s="227"/>
    </row>
    <row r="33" ht="15.75" customHeight="1">
      <c r="A33" s="132"/>
      <c r="B33" s="132"/>
      <c r="C33" s="132"/>
      <c r="D33" s="132"/>
      <c r="E33" s="227"/>
      <c r="F33" s="227"/>
      <c r="G33" s="227"/>
      <c r="H33" s="227"/>
      <c r="I33" s="227"/>
      <c r="J33" s="227"/>
      <c r="K33" s="227"/>
    </row>
    <row r="34" ht="15.75" customHeight="1">
      <c r="A34" s="132"/>
      <c r="B34" s="132"/>
      <c r="C34" s="132"/>
      <c r="D34" s="132"/>
      <c r="E34" s="227"/>
      <c r="F34" s="227"/>
      <c r="G34" s="227"/>
      <c r="H34" s="227"/>
      <c r="I34" s="227"/>
      <c r="J34" s="227"/>
      <c r="K34" s="227"/>
    </row>
    <row r="35" ht="15.75" customHeight="1">
      <c r="A35" s="132"/>
      <c r="B35" s="132"/>
      <c r="C35" s="132"/>
      <c r="D35" s="132"/>
      <c r="E35" s="227"/>
      <c r="F35" s="227"/>
      <c r="G35" s="227"/>
      <c r="H35" s="227"/>
      <c r="I35" s="227"/>
      <c r="J35" s="227"/>
      <c r="K35" s="227"/>
    </row>
    <row r="36" ht="15.75" customHeight="1">
      <c r="A36" s="132"/>
      <c r="B36" s="132"/>
      <c r="C36" s="132"/>
      <c r="D36" s="132"/>
      <c r="E36" s="227"/>
      <c r="F36" s="227"/>
      <c r="G36" s="227"/>
      <c r="H36" s="227"/>
      <c r="I36" s="227"/>
      <c r="J36" s="227"/>
      <c r="K36" s="227"/>
    </row>
    <row r="37" ht="15.75" customHeight="1">
      <c r="A37" s="132"/>
      <c r="B37" s="132"/>
      <c r="C37" s="132"/>
      <c r="D37" s="132"/>
      <c r="E37" s="227"/>
      <c r="F37" s="227"/>
      <c r="G37" s="227"/>
      <c r="H37" s="227"/>
      <c r="I37" s="227"/>
      <c r="J37" s="227"/>
      <c r="K37" s="227"/>
    </row>
    <row r="38" ht="15.75" customHeight="1">
      <c r="A38" s="132"/>
      <c r="B38" s="132"/>
      <c r="C38" s="132"/>
      <c r="D38" s="132"/>
      <c r="E38" s="227"/>
      <c r="F38" s="227"/>
      <c r="G38" s="227"/>
      <c r="H38" s="227"/>
      <c r="I38" s="227"/>
      <c r="J38" s="227"/>
      <c r="K38" s="227"/>
    </row>
    <row r="39" ht="15.75" customHeight="1">
      <c r="A39" s="132"/>
      <c r="B39" s="132"/>
      <c r="C39" s="132"/>
      <c r="D39" s="132"/>
      <c r="E39" s="227"/>
      <c r="F39" s="227"/>
      <c r="G39" s="227"/>
      <c r="H39" s="227"/>
      <c r="I39" s="227"/>
      <c r="J39" s="227"/>
      <c r="K39" s="227"/>
    </row>
    <row r="40" ht="15.75" customHeight="1">
      <c r="A40" s="132"/>
      <c r="B40" s="132"/>
      <c r="C40" s="132"/>
      <c r="D40" s="132"/>
      <c r="E40" s="227"/>
      <c r="F40" s="227"/>
      <c r="G40" s="227"/>
      <c r="H40" s="227"/>
      <c r="I40" s="227"/>
      <c r="J40" s="227"/>
      <c r="K40" s="22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3"/>
    <mergeCell ref="D4:E5"/>
    <mergeCell ref="A12:B12"/>
    <mergeCell ref="C12:D12"/>
    <mergeCell ref="E12:F12"/>
    <mergeCell ref="B20:C2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